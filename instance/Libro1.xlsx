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AFICO\Desktop\REGISTRO\instance\"/>
    </mc:Choice>
  </mc:AlternateContent>
  <xr:revisionPtr revIDLastSave="0" documentId="13_ncr:1_{75BB58CB-AD53-464F-982C-400B73CEEE2A}" xr6:coauthVersionLast="47" xr6:coauthVersionMax="47" xr10:uidLastSave="{00000000-0000-0000-0000-000000000000}"/>
  <bookViews>
    <workbookView xWindow="28680" yWindow="-120" windowWidth="29040" windowHeight="15720" xr2:uid="{9DE8A72E-E455-43FF-8A73-8DEE85510966}"/>
  </bookViews>
  <sheets>
    <sheet name="F-SENCILLOS" sheetId="1" r:id="rId1"/>
    <sheet name="RESUMEN 1" sheetId="2" r:id="rId2"/>
    <sheet name="S-FULL" sheetId="4" r:id="rId3"/>
    <sheet name="RESUMEN 2" sheetId="3" r:id="rId4"/>
  </sheets>
  <definedNames>
    <definedName name="_xlnm._FilterDatabase" localSheetId="2" hidden="1">'S-FULL'!$A$2:$AO$60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4" i="3" l="1"/>
  <c r="B14" i="3"/>
  <c r="C5" i="3"/>
  <c r="C6" i="3"/>
  <c r="C7" i="3"/>
  <c r="C8" i="3"/>
  <c r="C9" i="3"/>
  <c r="C10" i="3"/>
  <c r="C11" i="3"/>
  <c r="C12" i="3"/>
  <c r="C13" i="3"/>
  <c r="C4" i="3"/>
  <c r="AP4" i="4"/>
  <c r="AP5" i="4"/>
  <c r="AP6" i="4"/>
  <c r="AP7" i="4"/>
  <c r="AP8" i="4"/>
  <c r="AP9" i="4"/>
  <c r="AP10" i="4"/>
  <c r="AP11" i="4"/>
  <c r="AP12" i="4"/>
  <c r="AP13" i="4"/>
  <c r="AP14" i="4"/>
  <c r="AP15" i="4"/>
  <c r="AP16" i="4"/>
  <c r="AP17" i="4"/>
  <c r="AP18" i="4"/>
  <c r="AP19" i="4"/>
  <c r="AP20" i="4"/>
  <c r="AP21" i="4"/>
  <c r="AP22" i="4"/>
  <c r="AP23" i="4"/>
  <c r="AP24" i="4"/>
  <c r="AP25" i="4"/>
  <c r="AP26" i="4"/>
  <c r="AP27" i="4"/>
  <c r="AP28" i="4"/>
  <c r="AP29" i="4"/>
  <c r="AP30" i="4"/>
  <c r="AP31" i="4"/>
  <c r="AP32" i="4"/>
  <c r="AP33" i="4"/>
  <c r="AP34" i="4"/>
  <c r="AP35" i="4"/>
  <c r="AP36" i="4"/>
  <c r="AP37" i="4"/>
  <c r="AP38" i="4"/>
  <c r="AP39" i="4"/>
  <c r="AP40" i="4"/>
  <c r="AP41" i="4"/>
  <c r="AP42" i="4"/>
  <c r="AP43" i="4"/>
  <c r="AP44" i="4"/>
  <c r="AP45" i="4"/>
  <c r="AP46" i="4"/>
  <c r="AP47" i="4"/>
  <c r="AP48" i="4"/>
  <c r="AP49" i="4"/>
  <c r="AP50" i="4"/>
  <c r="AP51" i="4"/>
  <c r="AP52" i="4"/>
  <c r="AP53" i="4"/>
  <c r="AP54" i="4"/>
  <c r="AP55" i="4"/>
  <c r="AP56" i="4"/>
  <c r="AP57" i="4"/>
  <c r="AP58" i="4"/>
  <c r="AP59" i="4"/>
  <c r="AP60" i="4"/>
  <c r="AP3" i="4"/>
</calcChain>
</file>

<file path=xl/sharedStrings.xml><?xml version="1.0" encoding="utf-8"?>
<sst xmlns="http://schemas.openxmlformats.org/spreadsheetml/2006/main" count="5049" uniqueCount="1380">
  <si>
    <t>UNIDADES DE FULL HACIENDO VIAJES DE SENCILLO 12-02-2026 AL DIA 26-02-2026</t>
  </si>
  <si>
    <t>COMENTARIO</t>
  </si>
  <si>
    <t>TipoRemolque</t>
  </si>
  <si>
    <t>NumFase</t>
  </si>
  <si>
    <t>Status</t>
  </si>
  <si>
    <t>Viajes.CrUsuario</t>
  </si>
  <si>
    <t>ID</t>
  </si>
  <si>
    <t>FechaProgCarga</t>
  </si>
  <si>
    <t>FechaRealCarga</t>
  </si>
  <si>
    <t>FechaInicioReal</t>
  </si>
  <si>
    <t>FechaRealDescarga</t>
  </si>
  <si>
    <t>ID_Tractor</t>
  </si>
  <si>
    <t>ID_Operador</t>
  </si>
  <si>
    <t>Operadores.Descripcion</t>
  </si>
  <si>
    <t>Clientes.Descripcion</t>
  </si>
  <si>
    <t>ID_Ruta</t>
  </si>
  <si>
    <t>Origen</t>
  </si>
  <si>
    <t>Destino</t>
  </si>
  <si>
    <t>Numremision</t>
  </si>
  <si>
    <t>NumCarga</t>
  </si>
  <si>
    <t>Kilometros</t>
  </si>
  <si>
    <t>ImporteFlete</t>
  </si>
  <si>
    <t>Observaciones</t>
  </si>
  <si>
    <t>ImporteManiobras</t>
  </si>
  <si>
    <t>ID_Factura</t>
  </si>
  <si>
    <t>ImporteFacturado</t>
  </si>
  <si>
    <t>ImporteOtros1</t>
  </si>
  <si>
    <t>ImporteOtros2</t>
  </si>
  <si>
    <t>ImporteAutopistas</t>
  </si>
  <si>
    <t>ImporteSeguro</t>
  </si>
  <si>
    <t>TotLitros</t>
  </si>
  <si>
    <t>ID_Permisionario</t>
  </si>
  <si>
    <t>ImporteTotal</t>
  </si>
  <si>
    <t>DocumentacionViajeRecibida</t>
  </si>
  <si>
    <t>DocumentacionCorrecta</t>
  </si>
  <si>
    <t>FechaRecepcionDoctos</t>
  </si>
  <si>
    <t>UsuarioRecibioDoctos</t>
  </si>
  <si>
    <t>UsuarioEntregoDoctos</t>
  </si>
  <si>
    <t>FechaSeFacturo</t>
  </si>
  <si>
    <t>facturas.CrUsuario</t>
  </si>
  <si>
    <t>DescripcionRemolque1</t>
  </si>
  <si>
    <t>DescripcionRemolque2</t>
  </si>
  <si>
    <t>UNIDAD DE FULL PUEBLA</t>
  </si>
  <si>
    <t>S</t>
  </si>
  <si>
    <t>C</t>
  </si>
  <si>
    <t>OSCARA</t>
  </si>
  <si>
    <t>TRA-341</t>
  </si>
  <si>
    <t>00274</t>
  </si>
  <si>
    <t>TEHUITZIL MARTINEZ, JOSE REFUGIO</t>
  </si>
  <si>
    <t>WALMART PUEBLA</t>
  </si>
  <si>
    <t>HUBP-ALEN</t>
  </si>
  <si>
    <t>PUEBLA, PUEBLA</t>
  </si>
  <si>
    <t>589849-V</t>
  </si>
  <si>
    <t>23276864</t>
  </si>
  <si>
    <t>RECOLECCION</t>
  </si>
  <si>
    <t>FWP-0240649</t>
  </si>
  <si>
    <t>JUANMGC</t>
  </si>
  <si>
    <t>37UG8M</t>
  </si>
  <si>
    <t/>
  </si>
  <si>
    <t>ALEN-HUBP</t>
  </si>
  <si>
    <t>589849-C</t>
  </si>
  <si>
    <t>23276871</t>
  </si>
  <si>
    <t>260302128</t>
  </si>
  <si>
    <t>FWP-0240710</t>
  </si>
  <si>
    <t>430YH5</t>
  </si>
  <si>
    <t>589850-V</t>
  </si>
  <si>
    <t>23276881</t>
  </si>
  <si>
    <t>FWP-0240650</t>
  </si>
  <si>
    <t>720YG5</t>
  </si>
  <si>
    <t>589850-C</t>
  </si>
  <si>
    <t>23276885</t>
  </si>
  <si>
    <t>260302209</t>
  </si>
  <si>
    <t>FWP-0240711</t>
  </si>
  <si>
    <t>09UG8M</t>
  </si>
  <si>
    <t>ALMAVIVAS</t>
  </si>
  <si>
    <t>TRA-214</t>
  </si>
  <si>
    <t>00037</t>
  </si>
  <si>
    <t>CAMPOS GARCIA, BOMFILIO</t>
  </si>
  <si>
    <t>HUBP-6312</t>
  </si>
  <si>
    <t>604324-C</t>
  </si>
  <si>
    <t>23279475</t>
  </si>
  <si>
    <t>1306840/1306839 / DOC EN COPIA</t>
  </si>
  <si>
    <t>FWP-0240808</t>
  </si>
  <si>
    <t>ALEJANDRO MENDEZ</t>
  </si>
  <si>
    <t>BONIFILIO CAMPOS GARCIA</t>
  </si>
  <si>
    <t>ALBAAN</t>
  </si>
  <si>
    <t>883YG5</t>
  </si>
  <si>
    <t>6312-HUBP</t>
  </si>
  <si>
    <t>604324-V</t>
  </si>
  <si>
    <t>23288821</t>
  </si>
  <si>
    <t>604324-V / DOC EN COPIA</t>
  </si>
  <si>
    <t>FWP-0240998</t>
  </si>
  <si>
    <t>CARLOSPC</t>
  </si>
  <si>
    <t>MONICAH</t>
  </si>
  <si>
    <t>TRA-345</t>
  </si>
  <si>
    <t>00702</t>
  </si>
  <si>
    <t>TLAPANCO MORALES, JUAN</t>
  </si>
  <si>
    <t>604379-C</t>
  </si>
  <si>
    <t>23289789</t>
  </si>
  <si>
    <t>1306909/1306910 / DOC EN COPIA</t>
  </si>
  <si>
    <t>FWP-0241054</t>
  </si>
  <si>
    <t>JUAN TLAPANCO MORALES</t>
  </si>
  <si>
    <t xml:space="preserve"> 335YG4</t>
  </si>
  <si>
    <t>604379-V</t>
  </si>
  <si>
    <t>23289832</t>
  </si>
  <si>
    <t>604379-V / DOC EN COPIA</t>
  </si>
  <si>
    <t>FWP-0241018</t>
  </si>
  <si>
    <t>335YG4</t>
  </si>
  <si>
    <t>TRA-241</t>
  </si>
  <si>
    <t>01108</t>
  </si>
  <si>
    <t>SANCHEZ RAMIREZ, EDGAR</t>
  </si>
  <si>
    <t>HUBP-6211</t>
  </si>
  <si>
    <t>604380-C</t>
  </si>
  <si>
    <t>23277301</t>
  </si>
  <si>
    <t>1306905/1306906</t>
  </si>
  <si>
    <t>FWP-0240809</t>
  </si>
  <si>
    <t>30UF3S</t>
  </si>
  <si>
    <t>6211-HUBP</t>
  </si>
  <si>
    <t>604380-V</t>
  </si>
  <si>
    <t>23288800</t>
  </si>
  <si>
    <t>FWP-0241413</t>
  </si>
  <si>
    <t>604206-C</t>
  </si>
  <si>
    <t>23281950</t>
  </si>
  <si>
    <t>1306977</t>
  </si>
  <si>
    <t>FWP-0240812</t>
  </si>
  <si>
    <t>002YC4</t>
  </si>
  <si>
    <t>604206-V</t>
  </si>
  <si>
    <t>23288827</t>
  </si>
  <si>
    <t>FWP-0241534</t>
  </si>
  <si>
    <t>JESUSG25</t>
  </si>
  <si>
    <t>604169-C</t>
  </si>
  <si>
    <t>23285747</t>
  </si>
  <si>
    <t>FWP-0240821</t>
  </si>
  <si>
    <t>454YF4</t>
  </si>
  <si>
    <t>604169-V</t>
  </si>
  <si>
    <t>23288792</t>
  </si>
  <si>
    <t>FWP-0240997</t>
  </si>
  <si>
    <t>589867-V</t>
  </si>
  <si>
    <t>23288753</t>
  </si>
  <si>
    <t>FWP-0240948</t>
  </si>
  <si>
    <t>SILVIA</t>
  </si>
  <si>
    <t>REUGIO TEHIUTZILL MARTINEZ</t>
  </si>
  <si>
    <t>498YF4</t>
  </si>
  <si>
    <t>589867-C</t>
  </si>
  <si>
    <t>23288760</t>
  </si>
  <si>
    <t>260302265</t>
  </si>
  <si>
    <t>FWP-0241041</t>
  </si>
  <si>
    <t>JOSE REFUGIO TEHUITZIL MARTINEZ</t>
  </si>
  <si>
    <t>844YG5</t>
  </si>
  <si>
    <t>589868-V</t>
  </si>
  <si>
    <t>23288767</t>
  </si>
  <si>
    <t>FWP-0240949</t>
  </si>
  <si>
    <t>JOSE REFUGIO TEHUTIZIL MARTINEZ</t>
  </si>
  <si>
    <t>507YF4</t>
  </si>
  <si>
    <t>589868-C</t>
  </si>
  <si>
    <t>23288783</t>
  </si>
  <si>
    <t>260302142</t>
  </si>
  <si>
    <t>FWP-0241042</t>
  </si>
  <si>
    <t>31YA6C</t>
  </si>
  <si>
    <t>604189-C</t>
  </si>
  <si>
    <t>23287065</t>
  </si>
  <si>
    <t>604189-C / DOC EN COPIA</t>
  </si>
  <si>
    <t>FWP-0240823</t>
  </si>
  <si>
    <t>706YF9</t>
  </si>
  <si>
    <t>604189-V</t>
  </si>
  <si>
    <t>23289767</t>
  </si>
  <si>
    <t>604189-V / DOC EN COPIA</t>
  </si>
  <si>
    <t>FWP-0241001</t>
  </si>
  <si>
    <t>585709-V</t>
  </si>
  <si>
    <t>23299041</t>
  </si>
  <si>
    <t>FWP-0241222</t>
  </si>
  <si>
    <t xml:space="preserve"> 992YC7</t>
  </si>
  <si>
    <t>585709-C</t>
  </si>
  <si>
    <t>23299049</t>
  </si>
  <si>
    <t>260302340</t>
  </si>
  <si>
    <t>FWP-0241366</t>
  </si>
  <si>
    <t>29YA4H</t>
  </si>
  <si>
    <t>585710-V</t>
  </si>
  <si>
    <t>23298953</t>
  </si>
  <si>
    <t>FWP-0241218</t>
  </si>
  <si>
    <t>555YG1</t>
  </si>
  <si>
    <t>585710-C</t>
  </si>
  <si>
    <t>23298979</t>
  </si>
  <si>
    <t>260302276</t>
  </si>
  <si>
    <t>FWP-0241362</t>
  </si>
  <si>
    <t>46YA9C</t>
  </si>
  <si>
    <t>ELIZABETH</t>
  </si>
  <si>
    <t>TRA-287</t>
  </si>
  <si>
    <t>01772</t>
  </si>
  <si>
    <t>ROJAS MENDIETA, ADRIAN</t>
  </si>
  <si>
    <t>HUBP-1276</t>
  </si>
  <si>
    <t>ACAJETE, PUEBLA</t>
  </si>
  <si>
    <t>604906-C</t>
  </si>
  <si>
    <t>23295059</t>
  </si>
  <si>
    <t>1308994</t>
  </si>
  <si>
    <t>FWP-0240940</t>
  </si>
  <si>
    <t>ADRIAN ROJAS MENDIETA</t>
  </si>
  <si>
    <t>ELIZAPALE</t>
  </si>
  <si>
    <t>668YD7</t>
  </si>
  <si>
    <t>1276-HUBP</t>
  </si>
  <si>
    <t>604906-V</t>
  </si>
  <si>
    <t>23297628</t>
  </si>
  <si>
    <t>FWP-0241127</t>
  </si>
  <si>
    <t>HUBP-1801</t>
  </si>
  <si>
    <t>604907-C</t>
  </si>
  <si>
    <t>23294895</t>
  </si>
  <si>
    <t>1308957/3318871 / DOC EN COPIA</t>
  </si>
  <si>
    <t>FWP-0241080</t>
  </si>
  <si>
    <t>821YG5</t>
  </si>
  <si>
    <t>1801-HUBP</t>
  </si>
  <si>
    <t>604907-V</t>
  </si>
  <si>
    <t>23303090</t>
  </si>
  <si>
    <t>604907-V / DOC EN COPIA</t>
  </si>
  <si>
    <t>FWP-0241261</t>
  </si>
  <si>
    <t>84UJ7J</t>
  </si>
  <si>
    <t>HUBP-3853</t>
  </si>
  <si>
    <t>604029-C</t>
  </si>
  <si>
    <t>23294392</t>
  </si>
  <si>
    <t>1308951/3318867 / DOC EN COPIA</t>
  </si>
  <si>
    <t>FWP-0241021</t>
  </si>
  <si>
    <t>948YG3</t>
  </si>
  <si>
    <t>3853-HUBP</t>
  </si>
  <si>
    <t>604029-V</t>
  </si>
  <si>
    <t>23301356</t>
  </si>
  <si>
    <t>604029-V / DOC EN COPIA</t>
  </si>
  <si>
    <t>FWP-0241242</t>
  </si>
  <si>
    <t>72UJ6J</t>
  </si>
  <si>
    <t>HUBP-3864</t>
  </si>
  <si>
    <t>604936-C</t>
  </si>
  <si>
    <t>23296848</t>
  </si>
  <si>
    <t>1307621/3317951 / DOC EN COPIA</t>
  </si>
  <si>
    <t>FWP-0241069</t>
  </si>
  <si>
    <t>160YF9</t>
  </si>
  <si>
    <t>3864-HUBP</t>
  </si>
  <si>
    <t>604936-V</t>
  </si>
  <si>
    <t>23302085</t>
  </si>
  <si>
    <t>604936-V / DOC EN COPIA</t>
  </si>
  <si>
    <t>FWP-0241253</t>
  </si>
  <si>
    <t>917YG3</t>
  </si>
  <si>
    <t>HUBP-4988</t>
  </si>
  <si>
    <t>CHOLULA, PUEBLA</t>
  </si>
  <si>
    <t>604876-C</t>
  </si>
  <si>
    <t>23298547</t>
  </si>
  <si>
    <t>1309756 / DOC EN COPIA</t>
  </si>
  <si>
    <t>FWP-0241078</t>
  </si>
  <si>
    <t xml:space="preserve"> 862YF8</t>
  </si>
  <si>
    <t>4988-HUBP</t>
  </si>
  <si>
    <t>604876-V</t>
  </si>
  <si>
    <t>23303114</t>
  </si>
  <si>
    <t>604876-V / DOC EN COPIA</t>
  </si>
  <si>
    <t>FWP-0241262</t>
  </si>
  <si>
    <t>547YG1</t>
  </si>
  <si>
    <t>585711-V</t>
  </si>
  <si>
    <t>23298987</t>
  </si>
  <si>
    <t>FWP-0241219</t>
  </si>
  <si>
    <t>27YA4H</t>
  </si>
  <si>
    <t>585711-C</t>
  </si>
  <si>
    <t>23298997</t>
  </si>
  <si>
    <t>260302278</t>
  </si>
  <si>
    <t>FWP-0241363</t>
  </si>
  <si>
    <t>992YC7</t>
  </si>
  <si>
    <t>585712-V</t>
  </si>
  <si>
    <t>23299004</t>
  </si>
  <si>
    <t>FWP-0241220</t>
  </si>
  <si>
    <t>40UH9X</t>
  </si>
  <si>
    <t>585712-C</t>
  </si>
  <si>
    <t>23299016</t>
  </si>
  <si>
    <t>260302279</t>
  </si>
  <si>
    <t>FWP-0241364</t>
  </si>
  <si>
    <t>TRA-263</t>
  </si>
  <si>
    <t>02067</t>
  </si>
  <si>
    <t>ELIZALDE ESTRADA, EFRAIN</t>
  </si>
  <si>
    <t>589893-V</t>
  </si>
  <si>
    <t>23309768</t>
  </si>
  <si>
    <t>FWP-0241273</t>
  </si>
  <si>
    <t>EFRAIN ELIZALDE ESTRADA</t>
  </si>
  <si>
    <t>336YG4</t>
  </si>
  <si>
    <t>589893-C</t>
  </si>
  <si>
    <t>23309779</t>
  </si>
  <si>
    <t>260302302</t>
  </si>
  <si>
    <t>FWP-0241396</t>
  </si>
  <si>
    <t>589894-V</t>
  </si>
  <si>
    <t>23309791</t>
  </si>
  <si>
    <t>FWP-0241274</t>
  </si>
  <si>
    <t>393YG5</t>
  </si>
  <si>
    <t>589894-C</t>
  </si>
  <si>
    <t>23309797</t>
  </si>
  <si>
    <t>260302303</t>
  </si>
  <si>
    <t>FWP-0241395</t>
  </si>
  <si>
    <t>469YF4</t>
  </si>
  <si>
    <t>HUBP-3754</t>
  </si>
  <si>
    <t>604917-C</t>
  </si>
  <si>
    <t>23295844</t>
  </si>
  <si>
    <t>1309207/3318922</t>
  </si>
  <si>
    <t>FWP-0241175</t>
  </si>
  <si>
    <t>41YA9C</t>
  </si>
  <si>
    <t>3754-HUBP</t>
  </si>
  <si>
    <t>604917-V</t>
  </si>
  <si>
    <t>23307707</t>
  </si>
  <si>
    <t>FWP-0241304</t>
  </si>
  <si>
    <t>93UG7M</t>
  </si>
  <si>
    <t>TRA-284</t>
  </si>
  <si>
    <t>01625</t>
  </si>
  <si>
    <t>CARRILLO PADILLA, ROGELIO</t>
  </si>
  <si>
    <t>HUBP-5085</t>
  </si>
  <si>
    <t>TLAXCALA DE XICOHTENCATL, TLAXCALA</t>
  </si>
  <si>
    <t>604856-C</t>
  </si>
  <si>
    <t>23297182</t>
  </si>
  <si>
    <t>3318009/1309075</t>
  </si>
  <si>
    <t>FWP-0241167</t>
  </si>
  <si>
    <t>ROGELIO CARRILLO PADILLA</t>
  </si>
  <si>
    <t>96YA5A</t>
  </si>
  <si>
    <t>5085-HUBP</t>
  </si>
  <si>
    <t>604856-V</t>
  </si>
  <si>
    <t>23306517</t>
  </si>
  <si>
    <t>FWP-0241272</t>
  </si>
  <si>
    <t>TRA-307</t>
  </si>
  <si>
    <t>00204</t>
  </si>
  <si>
    <t>ORTIZ ZENON, JOSE NAU</t>
  </si>
  <si>
    <t>604875-C</t>
  </si>
  <si>
    <t>23298546</t>
  </si>
  <si>
    <t>FWP-0241177</t>
  </si>
  <si>
    <t>JOSE NAU ORTIZ ZENON</t>
  </si>
  <si>
    <t>466YC7</t>
  </si>
  <si>
    <t>604875-V</t>
  </si>
  <si>
    <t>23307088</t>
  </si>
  <si>
    <t>604875-V / DOC EN COPIA</t>
  </si>
  <si>
    <t>FWP-0241297</t>
  </si>
  <si>
    <t>HUBP-2993</t>
  </si>
  <si>
    <t>604872-C</t>
  </si>
  <si>
    <t>23298525</t>
  </si>
  <si>
    <t>3319030/1309155</t>
  </si>
  <si>
    <t>FWP-0241083</t>
  </si>
  <si>
    <t xml:space="preserve"> 25UG8M</t>
  </si>
  <si>
    <t>2993-HUBP</t>
  </si>
  <si>
    <t>604872-V</t>
  </si>
  <si>
    <t>23305055</t>
  </si>
  <si>
    <t>FWP-0241284</t>
  </si>
  <si>
    <t>444YC7</t>
  </si>
  <si>
    <t>MARIANASP</t>
  </si>
  <si>
    <t>604813-C</t>
  </si>
  <si>
    <t>23301212</t>
  </si>
  <si>
    <t>1311001/1311000 / DOC EN COPIA</t>
  </si>
  <si>
    <t>FWP-0241179</t>
  </si>
  <si>
    <t>11YA4H</t>
  </si>
  <si>
    <t>604813-V</t>
  </si>
  <si>
    <t>23307047</t>
  </si>
  <si>
    <t>604813-V / DOC EN COPIA</t>
  </si>
  <si>
    <t>FWP-0241296</t>
  </si>
  <si>
    <t>HUBP-3886</t>
  </si>
  <si>
    <t>604943-C</t>
  </si>
  <si>
    <t>23296932</t>
  </si>
  <si>
    <t>3318883/1308971</t>
  </si>
  <si>
    <t>FWP-0241180</t>
  </si>
  <si>
    <t>610YG8</t>
  </si>
  <si>
    <t>3886-HUBP</t>
  </si>
  <si>
    <t>604943-V</t>
  </si>
  <si>
    <t>23309641</t>
  </si>
  <si>
    <t>FWP-0241323</t>
  </si>
  <si>
    <t>69TX5H</t>
  </si>
  <si>
    <t>HUBP-4730</t>
  </si>
  <si>
    <t>604706-C</t>
  </si>
  <si>
    <t>23303433</t>
  </si>
  <si>
    <t>3319803/1310454 / DOC EN COPIA</t>
  </si>
  <si>
    <t>FWP-0241376</t>
  </si>
  <si>
    <t>414YH5</t>
  </si>
  <si>
    <t>4730-HUBP</t>
  </si>
  <si>
    <t>604706-V</t>
  </si>
  <si>
    <t>23306308</t>
  </si>
  <si>
    <t>604706-V / DOC EN COPIA</t>
  </si>
  <si>
    <t>FWP-0241292</t>
  </si>
  <si>
    <t>32YA6C</t>
  </si>
  <si>
    <t>604708-C</t>
  </si>
  <si>
    <t>23303649</t>
  </si>
  <si>
    <t>1311041/1311040 / DOC EN COPIA</t>
  </si>
  <si>
    <t>FWP-0241392</t>
  </si>
  <si>
    <t>EDGAR SANCHEZ RAMIREZ</t>
  </si>
  <si>
    <t>56YA9C</t>
  </si>
  <si>
    <t>604708-V</t>
  </si>
  <si>
    <t>23308773</t>
  </si>
  <si>
    <t>604708-V / DOC EN COPIA</t>
  </si>
  <si>
    <t>FWP-0241313</t>
  </si>
  <si>
    <t>HUBP-5185</t>
  </si>
  <si>
    <t>604716-C</t>
  </si>
  <si>
    <t>23304103</t>
  </si>
  <si>
    <t>3319848/1310569 / DOC EN COPIA</t>
  </si>
  <si>
    <t>FWP-0241383</t>
  </si>
  <si>
    <t>09YA4H</t>
  </si>
  <si>
    <t>5185-HUBP</t>
  </si>
  <si>
    <t>604716-V</t>
  </si>
  <si>
    <t>23308799</t>
  </si>
  <si>
    <t>604716-V / DOC EN COPIA</t>
  </si>
  <si>
    <t>FWP-0241314</t>
  </si>
  <si>
    <t>67UH2B</t>
  </si>
  <si>
    <t>HUBP-ITALIANA</t>
  </si>
  <si>
    <t>PATIO HUB PUEBLA</t>
  </si>
  <si>
    <t>589908-V</t>
  </si>
  <si>
    <t>23314989</t>
  </si>
  <si>
    <t>FWP-0241543</t>
  </si>
  <si>
    <t>52YA9C</t>
  </si>
  <si>
    <t>ITALIANA-HUBP</t>
  </si>
  <si>
    <t>589908-C</t>
  </si>
  <si>
    <t>23314995</t>
  </si>
  <si>
    <t>260302564</t>
  </si>
  <si>
    <t>FWP-0241569</t>
  </si>
  <si>
    <t>589909-V</t>
  </si>
  <si>
    <t>23314998</t>
  </si>
  <si>
    <t>FWP-0241544</t>
  </si>
  <si>
    <t>58UF5V</t>
  </si>
  <si>
    <t>589909-C</t>
  </si>
  <si>
    <t>23315007</t>
  </si>
  <si>
    <t>260302565</t>
  </si>
  <si>
    <t>FWP-0241570</t>
  </si>
  <si>
    <t>604898-C</t>
  </si>
  <si>
    <t>23299416</t>
  </si>
  <si>
    <t>3318950/1309336 / DOC EN COPIA</t>
  </si>
  <si>
    <t>FWP-0241511</t>
  </si>
  <si>
    <t>93UH8X</t>
  </si>
  <si>
    <t>604898-V</t>
  </si>
  <si>
    <t>23316728</t>
  </si>
  <si>
    <t>604898-V / DOC EN COPIA</t>
  </si>
  <si>
    <t>FWP-0241720</t>
  </si>
  <si>
    <t>KARINAO</t>
  </si>
  <si>
    <t>604718-C</t>
  </si>
  <si>
    <t>23304126</t>
  </si>
  <si>
    <t xml:space="preserve">1310577 </t>
  </si>
  <si>
    <t>FWP-0241204</t>
  </si>
  <si>
    <t>872YC7</t>
  </si>
  <si>
    <t>604718-V</t>
  </si>
  <si>
    <t>23315036</t>
  </si>
  <si>
    <t>604718- / DOC EN COPIA</t>
  </si>
  <si>
    <t>FWP-0241701</t>
  </si>
  <si>
    <t>925YG5</t>
  </si>
  <si>
    <t>604733-C</t>
  </si>
  <si>
    <t>23305128</t>
  </si>
  <si>
    <t>1311079/1311078</t>
  </si>
  <si>
    <t>FWP-0241566</t>
  </si>
  <si>
    <t>719YG5</t>
  </si>
  <si>
    <t>604733-V</t>
  </si>
  <si>
    <t>23315015</t>
  </si>
  <si>
    <t>FWP-0241700</t>
  </si>
  <si>
    <t>88UG7M</t>
  </si>
  <si>
    <t>604558-C</t>
  </si>
  <si>
    <t>23310388</t>
  </si>
  <si>
    <t>1311138</t>
  </si>
  <si>
    <t>FWP-0241567</t>
  </si>
  <si>
    <t>857YF5</t>
  </si>
  <si>
    <t>604558-V</t>
  </si>
  <si>
    <t>23314997</t>
  </si>
  <si>
    <t>FWP-0241699</t>
  </si>
  <si>
    <t>06UG2N</t>
  </si>
  <si>
    <t>A</t>
  </si>
  <si>
    <t>TRA-163</t>
  </si>
  <si>
    <t>02107</t>
  </si>
  <si>
    <t>MEDRANO RODRIGUEZ, MIGUEL ANGEL</t>
  </si>
  <si>
    <t>HUBP-3793</t>
  </si>
  <si>
    <t>604730-C</t>
  </si>
  <si>
    <t>23305087</t>
  </si>
  <si>
    <t>3319061/1309191</t>
  </si>
  <si>
    <t>FWP-0241585</t>
  </si>
  <si>
    <t>MIGUEL ANGEL MEDRANO RODRIGUEZ</t>
  </si>
  <si>
    <t>3793-HUBP</t>
  </si>
  <si>
    <t>604730-V</t>
  </si>
  <si>
    <t>23321945</t>
  </si>
  <si>
    <t>FWP-0241757</t>
  </si>
  <si>
    <t>883YG4</t>
  </si>
  <si>
    <t>HUBP-2952</t>
  </si>
  <si>
    <t>604688-C</t>
  </si>
  <si>
    <t>23308449</t>
  </si>
  <si>
    <t>3319832/1310562</t>
  </si>
  <si>
    <t>FWP-0241524</t>
  </si>
  <si>
    <t>2952-HUBP</t>
  </si>
  <si>
    <t>604688-V</t>
  </si>
  <si>
    <t>23319732</t>
  </si>
  <si>
    <t>FWP-0241680</t>
  </si>
  <si>
    <t>TRA-271</t>
  </si>
  <si>
    <t>00089</t>
  </si>
  <si>
    <t>FLORES MARTINEZ, WILFRIDO</t>
  </si>
  <si>
    <t>604512-C</t>
  </si>
  <si>
    <t>23313144</t>
  </si>
  <si>
    <t>1312445/1312444</t>
  </si>
  <si>
    <t>FWP-0241592</t>
  </si>
  <si>
    <t>604512-V</t>
  </si>
  <si>
    <t>23321979</t>
  </si>
  <si>
    <t>FWP-0241760</t>
  </si>
  <si>
    <t>604513-C</t>
  </si>
  <si>
    <t>23313145</t>
  </si>
  <si>
    <t>1312418/1312417</t>
  </si>
  <si>
    <t>FWP-0241594</t>
  </si>
  <si>
    <t>110YF5</t>
  </si>
  <si>
    <t>604513-V</t>
  </si>
  <si>
    <t>23321960</t>
  </si>
  <si>
    <t>FWP-0241759</t>
  </si>
  <si>
    <t>TOC-45</t>
  </si>
  <si>
    <t>00440</t>
  </si>
  <si>
    <t>RAMOS DEL ROSARIO, HUGO</t>
  </si>
  <si>
    <t>604651-C</t>
  </si>
  <si>
    <t>23305721</t>
  </si>
  <si>
    <t>1311096/1311097</t>
  </si>
  <si>
    <t>FWP-0241589</t>
  </si>
  <si>
    <t>476YF4</t>
  </si>
  <si>
    <t>604651-V</t>
  </si>
  <si>
    <t>23322011</t>
  </si>
  <si>
    <t>FWP-0241765</t>
  </si>
  <si>
    <t>604691-C</t>
  </si>
  <si>
    <t>23309502</t>
  </si>
  <si>
    <t>1311136/1311137</t>
  </si>
  <si>
    <t>FWP-0241590</t>
  </si>
  <si>
    <t>18YA8C</t>
  </si>
  <si>
    <t>604691-V</t>
  </si>
  <si>
    <t>23321992</t>
  </si>
  <si>
    <t>FWP-0241764</t>
  </si>
  <si>
    <t>HUBP-1768</t>
  </si>
  <si>
    <t>604526-C</t>
  </si>
  <si>
    <t>23314129</t>
  </si>
  <si>
    <t>1311358/1311356</t>
  </si>
  <si>
    <t>FWP-0241601</t>
  </si>
  <si>
    <t>724YG5</t>
  </si>
  <si>
    <t>1768-HUBP</t>
  </si>
  <si>
    <t>604526-V</t>
  </si>
  <si>
    <t>23323072</t>
  </si>
  <si>
    <t>FWP-0241761</t>
  </si>
  <si>
    <t>606043-C</t>
  </si>
  <si>
    <t>23319367</t>
  </si>
  <si>
    <t>1312521/ COPIA CARTA PORTE</t>
  </si>
  <si>
    <t>FWP-0241624</t>
  </si>
  <si>
    <t>70UJ6J</t>
  </si>
  <si>
    <t>606043-V</t>
  </si>
  <si>
    <t>23325749</t>
  </si>
  <si>
    <t>606043-V  COPIA CARTA PORTE</t>
  </si>
  <si>
    <t>FWP-0241791</t>
  </si>
  <si>
    <t>76UJ6J</t>
  </si>
  <si>
    <t>HUBP-4065</t>
  </si>
  <si>
    <t>IZUCAR DE MATAMOROS, PUEBLA</t>
  </si>
  <si>
    <t>604569-C</t>
  </si>
  <si>
    <t>23311068</t>
  </si>
  <si>
    <t>3319042/1311297  COPIA CARTA PORTE</t>
  </si>
  <si>
    <t>FWP-0241813</t>
  </si>
  <si>
    <t>ADRIN ROJAS MENDIETA</t>
  </si>
  <si>
    <t xml:space="preserve"> 718YG5</t>
  </si>
  <si>
    <t>4065-HUBP</t>
  </si>
  <si>
    <t>604569-V</t>
  </si>
  <si>
    <t>23329404</t>
  </si>
  <si>
    <t>604569-V  COPIA CARTA PORTE</t>
  </si>
  <si>
    <t>ADRIAN ROJA MENDIETA</t>
  </si>
  <si>
    <t>456YF4</t>
  </si>
  <si>
    <t>HUBP-1579</t>
  </si>
  <si>
    <t>604504-C</t>
  </si>
  <si>
    <t>23312699</t>
  </si>
  <si>
    <t>3319053/1311282</t>
  </si>
  <si>
    <t>FWP-0241632</t>
  </si>
  <si>
    <t>429YH5</t>
  </si>
  <si>
    <t>1579-HUBP</t>
  </si>
  <si>
    <t>604504-V</t>
  </si>
  <si>
    <t>23343941</t>
  </si>
  <si>
    <t>604504-V// 23328482 ID CANCELADO</t>
  </si>
  <si>
    <t>FWP-0242363</t>
  </si>
  <si>
    <t>.</t>
  </si>
  <si>
    <t>TOC-39</t>
  </si>
  <si>
    <t>00489</t>
  </si>
  <si>
    <t>LOPEZ GONZALEZ, CRISTIAN</t>
  </si>
  <si>
    <t>HUBP-2732</t>
  </si>
  <si>
    <t>606021-C</t>
  </si>
  <si>
    <t>23318187</t>
  </si>
  <si>
    <t>1311773/3320779</t>
  </si>
  <si>
    <t>FWP-0241746</t>
  </si>
  <si>
    <t xml:space="preserve"> 27YA4H</t>
  </si>
  <si>
    <t>2732-HUBP</t>
  </si>
  <si>
    <t>606021-V</t>
  </si>
  <si>
    <t>23323778</t>
  </si>
  <si>
    <t>FWP-0241780</t>
  </si>
  <si>
    <t xml:space="preserve"> CAJA SECA 39UE1U</t>
  </si>
  <si>
    <t>TRA-198</t>
  </si>
  <si>
    <t>606033-C</t>
  </si>
  <si>
    <t>23318776</t>
  </si>
  <si>
    <t>1312485</t>
  </si>
  <si>
    <t>FWP-0241749</t>
  </si>
  <si>
    <t>606YG8</t>
  </si>
  <si>
    <t>606033-V</t>
  </si>
  <si>
    <t>23330259</t>
  </si>
  <si>
    <t>FWP-0241864</t>
  </si>
  <si>
    <t xml:space="preserve"> CAJA SECA 96UH2S</t>
  </si>
  <si>
    <t>606053-C</t>
  </si>
  <si>
    <t>23319536</t>
  </si>
  <si>
    <t>3321505/1312902  COPIA CARTA PORTE</t>
  </si>
  <si>
    <t>FWP-0241750</t>
  </si>
  <si>
    <t xml:space="preserve"> 862YG5</t>
  </si>
  <si>
    <t>606053-V</t>
  </si>
  <si>
    <t>23329447</t>
  </si>
  <si>
    <t>606053-V COPIA CARTA PORTE</t>
  </si>
  <si>
    <t>604360-C</t>
  </si>
  <si>
    <t>23319366</t>
  </si>
  <si>
    <t>1312510/1312509</t>
  </si>
  <si>
    <t>FWP-0241795</t>
  </si>
  <si>
    <t xml:space="preserve"> XXXX </t>
  </si>
  <si>
    <t>604360-V</t>
  </si>
  <si>
    <t>23329203</t>
  </si>
  <si>
    <t>FWP-0241850</t>
  </si>
  <si>
    <t>71UG1N</t>
  </si>
  <si>
    <t>606116-C</t>
  </si>
  <si>
    <t>23324858</t>
  </si>
  <si>
    <t>1313825/1313826</t>
  </si>
  <si>
    <t>FWP-0241797</t>
  </si>
  <si>
    <t xml:space="preserve"> 755YF8</t>
  </si>
  <si>
    <t>606116-V</t>
  </si>
  <si>
    <t>23330221</t>
  </si>
  <si>
    <t>00269</t>
  </si>
  <si>
    <t>ZENON MEJIA, VICTOR HUGO</t>
  </si>
  <si>
    <t>606123-C</t>
  </si>
  <si>
    <t>23325000</t>
  </si>
  <si>
    <t>1313841/1313842</t>
  </si>
  <si>
    <t>FWP-0241798</t>
  </si>
  <si>
    <t xml:space="preserve"> 659XT7</t>
  </si>
  <si>
    <t>606123-V</t>
  </si>
  <si>
    <t>23329821</t>
  </si>
  <si>
    <t>FWP-0241858</t>
  </si>
  <si>
    <t xml:space="preserve"> CAJA SECA 05UH3B</t>
  </si>
  <si>
    <t>TRA-173</t>
  </si>
  <si>
    <t>00123</t>
  </si>
  <si>
    <t>HERNANDEZ JUAN, OMAR DAVID</t>
  </si>
  <si>
    <t>606070-C</t>
  </si>
  <si>
    <t>23320656</t>
  </si>
  <si>
    <t>1312594/1312595</t>
  </si>
  <si>
    <t>FWP-0241901</t>
  </si>
  <si>
    <t xml:space="preserve"> 867YG5</t>
  </si>
  <si>
    <t xml:space="preserve">  </t>
  </si>
  <si>
    <t>606070-V</t>
  </si>
  <si>
    <t>23330914</t>
  </si>
  <si>
    <t>FWP-0241873</t>
  </si>
  <si>
    <t>867YG5</t>
  </si>
  <si>
    <t>606071-C</t>
  </si>
  <si>
    <t>23320655</t>
  </si>
  <si>
    <t>1312515/1312516</t>
  </si>
  <si>
    <t>FWP-0241900</t>
  </si>
  <si>
    <t xml:space="preserve"> 341YH5</t>
  </si>
  <si>
    <t>606071-V</t>
  </si>
  <si>
    <t>23330884</t>
  </si>
  <si>
    <t>FWP-0241872</t>
  </si>
  <si>
    <t>341YH5</t>
  </si>
  <si>
    <t>606058-C</t>
  </si>
  <si>
    <t>23320474</t>
  </si>
  <si>
    <t>1312587</t>
  </si>
  <si>
    <t>FWP-0241801</t>
  </si>
  <si>
    <t xml:space="preserve"> 84UJ7J</t>
  </si>
  <si>
    <t>606058-V</t>
  </si>
  <si>
    <t>23329857</t>
  </si>
  <si>
    <t>FWP-0241859</t>
  </si>
  <si>
    <t>HUBP-2808</t>
  </si>
  <si>
    <t>CUAUTLANCINGO, PUEBLA</t>
  </si>
  <si>
    <t>606041-C</t>
  </si>
  <si>
    <t>23319364</t>
  </si>
  <si>
    <t>1310475/3319818</t>
  </si>
  <si>
    <t>FWP-0241930</t>
  </si>
  <si>
    <t>13YA4H</t>
  </si>
  <si>
    <t>2808-HUBP</t>
  </si>
  <si>
    <t>606041-V</t>
  </si>
  <si>
    <t>23336785</t>
  </si>
  <si>
    <t>FWP-0242071</t>
  </si>
  <si>
    <t>721YG5</t>
  </si>
  <si>
    <t>606217-C</t>
  </si>
  <si>
    <t>23328067</t>
  </si>
  <si>
    <t>3321565/1312955</t>
  </si>
  <si>
    <t>FWP-0241983</t>
  </si>
  <si>
    <t>852YF8</t>
  </si>
  <si>
    <t>606217-V</t>
  </si>
  <si>
    <t>23338418</t>
  </si>
  <si>
    <t>FWP-0242084</t>
  </si>
  <si>
    <t>73TX7Y</t>
  </si>
  <si>
    <t>HUBP-2769</t>
  </si>
  <si>
    <t>606239-C</t>
  </si>
  <si>
    <t>23328847</t>
  </si>
  <si>
    <t>1312987</t>
  </si>
  <si>
    <t>FWP-0241922</t>
  </si>
  <si>
    <t>343YG5</t>
  </si>
  <si>
    <t>2769-HUBP</t>
  </si>
  <si>
    <t>606239-V</t>
  </si>
  <si>
    <t>23335766</t>
  </si>
  <si>
    <t>FWP-0242062</t>
  </si>
  <si>
    <t>929YC6</t>
  </si>
  <si>
    <t>606261-C</t>
  </si>
  <si>
    <t>23330944</t>
  </si>
  <si>
    <t>1313928/1313927</t>
  </si>
  <si>
    <t>FWP-0241935</t>
  </si>
  <si>
    <t>08YA4H</t>
  </si>
  <si>
    <t>606261-V</t>
  </si>
  <si>
    <t>23336377</t>
  </si>
  <si>
    <t>FWP-0242069</t>
  </si>
  <si>
    <t>659XT7</t>
  </si>
  <si>
    <t>TOC-44</t>
  </si>
  <si>
    <t>606113-C</t>
  </si>
  <si>
    <t>23324809</t>
  </si>
  <si>
    <t>3322484/1313716</t>
  </si>
  <si>
    <t>FWP-0241987</t>
  </si>
  <si>
    <t>856YG5</t>
  </si>
  <si>
    <t>606113-V</t>
  </si>
  <si>
    <t>23339019</t>
  </si>
  <si>
    <t>412YH5</t>
  </si>
  <si>
    <t>606149-C</t>
  </si>
  <si>
    <t>23332094</t>
  </si>
  <si>
    <t>1313897/1313896</t>
  </si>
  <si>
    <t>FWP-0241936</t>
  </si>
  <si>
    <t>12UH1Y</t>
  </si>
  <si>
    <t>606149-V</t>
  </si>
  <si>
    <t>23336362</t>
  </si>
  <si>
    <t>FWP-0242068</t>
  </si>
  <si>
    <t>HUBP-4765</t>
  </si>
  <si>
    <t>606220-C</t>
  </si>
  <si>
    <t>23328050</t>
  </si>
  <si>
    <t>3321582/1312944</t>
  </si>
  <si>
    <t>FWP-0241941</t>
  </si>
  <si>
    <t>398YG5</t>
  </si>
  <si>
    <t>4765-HUBP</t>
  </si>
  <si>
    <t>606220-V</t>
  </si>
  <si>
    <t>23337566</t>
  </si>
  <si>
    <t>FWP-0242077</t>
  </si>
  <si>
    <t>68YA9C</t>
  </si>
  <si>
    <t>606273-C</t>
  </si>
  <si>
    <t>23332597</t>
  </si>
  <si>
    <t>1313938/1313937</t>
  </si>
  <si>
    <t>FWP-0241991</t>
  </si>
  <si>
    <t>EDAGAR SANCHEZ RAMIREZ</t>
  </si>
  <si>
    <t>92UH8X</t>
  </si>
  <si>
    <t>606273-V</t>
  </si>
  <si>
    <t>23338955</t>
  </si>
  <si>
    <t>FWP-0242091</t>
  </si>
  <si>
    <t>EDGR  SANCHEZ RAMIREZ</t>
  </si>
  <si>
    <t>34YA6C</t>
  </si>
  <si>
    <t>589941-V</t>
  </si>
  <si>
    <t>23338685</t>
  </si>
  <si>
    <t>FWP-0242028</t>
  </si>
  <si>
    <t>59UH9X</t>
  </si>
  <si>
    <t>589941-C</t>
  </si>
  <si>
    <t>23338691</t>
  </si>
  <si>
    <t>260302717</t>
  </si>
  <si>
    <t>FWP-0242020</t>
  </si>
  <si>
    <t>645YC3</t>
  </si>
  <si>
    <t>589942-V</t>
  </si>
  <si>
    <t>23338708</t>
  </si>
  <si>
    <t>RECLECCION</t>
  </si>
  <si>
    <t>FWP-0242030</t>
  </si>
  <si>
    <t>97UH8X</t>
  </si>
  <si>
    <t>589942-C</t>
  </si>
  <si>
    <t>23338714</t>
  </si>
  <si>
    <t>260302812</t>
  </si>
  <si>
    <t>FWP-0242022</t>
  </si>
  <si>
    <t>718YG4</t>
  </si>
  <si>
    <t>606391-C</t>
  </si>
  <si>
    <t>23335774</t>
  </si>
  <si>
    <t>1313498</t>
  </si>
  <si>
    <t>FWP-0241959</t>
  </si>
  <si>
    <t>709YD7</t>
  </si>
  <si>
    <t>606391-V</t>
  </si>
  <si>
    <t>23343015</t>
  </si>
  <si>
    <t>FWP-0242102</t>
  </si>
  <si>
    <t>709YD</t>
  </si>
  <si>
    <t>606383-C</t>
  </si>
  <si>
    <t>23335656</t>
  </si>
  <si>
    <t>3323220/1312963</t>
  </si>
  <si>
    <t>FWP-0241953</t>
  </si>
  <si>
    <t>73UH1S</t>
  </si>
  <si>
    <t>606383-V</t>
  </si>
  <si>
    <t>23342200</t>
  </si>
  <si>
    <t>FWP-0242207</t>
  </si>
  <si>
    <t>95UH9R</t>
  </si>
  <si>
    <t>589955-V</t>
  </si>
  <si>
    <t>23347985</t>
  </si>
  <si>
    <t>FWP-0242371</t>
  </si>
  <si>
    <t>589955-C</t>
  </si>
  <si>
    <t>23347995</t>
  </si>
  <si>
    <t>260302807</t>
  </si>
  <si>
    <t>FWP-0242456</t>
  </si>
  <si>
    <t>589956-V</t>
  </si>
  <si>
    <t>23347902</t>
  </si>
  <si>
    <t>FWP-0242366</t>
  </si>
  <si>
    <t>589956-C</t>
  </si>
  <si>
    <t>23347916</t>
  </si>
  <si>
    <t>260302815</t>
  </si>
  <si>
    <t>FWP-0242452</t>
  </si>
  <si>
    <t>606292-C</t>
  </si>
  <si>
    <t>23333581</t>
  </si>
  <si>
    <t>1313672</t>
  </si>
  <si>
    <t>FWP-0242013</t>
  </si>
  <si>
    <t>869YC7</t>
  </si>
  <si>
    <t>606292-V</t>
  </si>
  <si>
    <t>23347659</t>
  </si>
  <si>
    <t>FWP-0242244</t>
  </si>
  <si>
    <t>53UH9X</t>
  </si>
  <si>
    <t>606439-C</t>
  </si>
  <si>
    <t>23338713</t>
  </si>
  <si>
    <t>1314926/1314925 / DOC EN COPIA</t>
  </si>
  <si>
    <t>FWP-0242276</t>
  </si>
  <si>
    <t>508YF4</t>
  </si>
  <si>
    <t>606439-V</t>
  </si>
  <si>
    <t>23350622</t>
  </si>
  <si>
    <t>606439-V / DOC EN COPIA</t>
  </si>
  <si>
    <t>FWP-0242271</t>
  </si>
  <si>
    <t>730YG5</t>
  </si>
  <si>
    <t>HUBP-1420</t>
  </si>
  <si>
    <t>606423-C</t>
  </si>
  <si>
    <t>23337655</t>
  </si>
  <si>
    <t>3324002/1315306</t>
  </si>
  <si>
    <t>FWP-0242002</t>
  </si>
  <si>
    <t>1420-HUBP</t>
  </si>
  <si>
    <t>606423-V</t>
  </si>
  <si>
    <t>23346657</t>
  </si>
  <si>
    <t>FWP-0242230</t>
  </si>
  <si>
    <t>761YC1</t>
  </si>
  <si>
    <t>606452-C</t>
  </si>
  <si>
    <t>23339410</t>
  </si>
  <si>
    <t>1315294 / DOC EN COPIA</t>
  </si>
  <si>
    <t>FWP-0242118</t>
  </si>
  <si>
    <t xml:space="preserve"> 606YG8</t>
  </si>
  <si>
    <t>606452-V</t>
  </si>
  <si>
    <t>23348586</t>
  </si>
  <si>
    <t>606452-V / DOC EN COPIA</t>
  </si>
  <si>
    <t>FWP-0242250</t>
  </si>
  <si>
    <t>97UG7M</t>
  </si>
  <si>
    <t>CARLOSRP</t>
  </si>
  <si>
    <t>HUBP-6263</t>
  </si>
  <si>
    <t>606505-C</t>
  </si>
  <si>
    <t>23342762</t>
  </si>
  <si>
    <t>1314992/1314992 8/ DOC EN COPIA</t>
  </si>
  <si>
    <t>FWP-0242128</t>
  </si>
  <si>
    <t xml:space="preserve"> 34TZ1E</t>
  </si>
  <si>
    <t>6263-HUBP</t>
  </si>
  <si>
    <t>606505-V</t>
  </si>
  <si>
    <t>23349739</t>
  </si>
  <si>
    <t>606505-V / DOC EN COPIA</t>
  </si>
  <si>
    <t>FWP-0242259</t>
  </si>
  <si>
    <t>606371-C</t>
  </si>
  <si>
    <t>23335080</t>
  </si>
  <si>
    <t>1312993/3323283</t>
  </si>
  <si>
    <t>FWP-0242137</t>
  </si>
  <si>
    <t>48UH9X</t>
  </si>
  <si>
    <t>606371-V</t>
  </si>
  <si>
    <t>23352364</t>
  </si>
  <si>
    <t>FWP-0242398</t>
  </si>
  <si>
    <t>589962-C</t>
  </si>
  <si>
    <t>23346890</t>
  </si>
  <si>
    <t>3324013/1315263</t>
  </si>
  <si>
    <t>FWP-0242146</t>
  </si>
  <si>
    <t>894YF6</t>
  </si>
  <si>
    <t>589962-V</t>
  </si>
  <si>
    <t>23353209</t>
  </si>
  <si>
    <t>FWP-0242423</t>
  </si>
  <si>
    <t>606541-C</t>
  </si>
  <si>
    <t>23347070</t>
  </si>
  <si>
    <t>1316215/1316216</t>
  </si>
  <si>
    <t>FWP-0242285</t>
  </si>
  <si>
    <t xml:space="preserve"> 870YG3</t>
  </si>
  <si>
    <t>606541-V</t>
  </si>
  <si>
    <t>23354270</t>
  </si>
  <si>
    <t>FWP-0242486</t>
  </si>
  <si>
    <t>865YF8</t>
  </si>
  <si>
    <t>606573-C</t>
  </si>
  <si>
    <t>23349557</t>
  </si>
  <si>
    <t>1316298/1316299</t>
  </si>
  <si>
    <t>FWP-0242286</t>
  </si>
  <si>
    <t xml:space="preserve"> 12YA8C</t>
  </si>
  <si>
    <t>606573-V</t>
  </si>
  <si>
    <t>23354296</t>
  </si>
  <si>
    <t>FWP-0242487</t>
  </si>
  <si>
    <t>902YH9</t>
  </si>
  <si>
    <t>606564-C</t>
  </si>
  <si>
    <t>23349388</t>
  </si>
  <si>
    <t>1315714/3323249</t>
  </si>
  <si>
    <t>FWP-0242303</t>
  </si>
  <si>
    <t>78UH9R</t>
  </si>
  <si>
    <t>606564-V</t>
  </si>
  <si>
    <t>23356424</t>
  </si>
  <si>
    <t>FWP-0242502</t>
  </si>
  <si>
    <t>365YH5</t>
  </si>
  <si>
    <t>606597-C</t>
  </si>
  <si>
    <t>23350257</t>
  </si>
  <si>
    <t>1315722/3324322</t>
  </si>
  <si>
    <t>FWP-0242295</t>
  </si>
  <si>
    <t xml:space="preserve"> 454YF4</t>
  </si>
  <si>
    <t>606597-V</t>
  </si>
  <si>
    <t>23355514</t>
  </si>
  <si>
    <t>FWP-0242494</t>
  </si>
  <si>
    <t>224YF9</t>
  </si>
  <si>
    <t>589971-V</t>
  </si>
  <si>
    <t>23354555</t>
  </si>
  <si>
    <t>FWP-0242400</t>
  </si>
  <si>
    <t>10YA8C</t>
  </si>
  <si>
    <t>589971-C</t>
  </si>
  <si>
    <t>23354575</t>
  </si>
  <si>
    <t>260302809</t>
  </si>
  <si>
    <t>FWP-0242469</t>
  </si>
  <si>
    <t>589972-V</t>
  </si>
  <si>
    <t>23354580</t>
  </si>
  <si>
    <t>FWP-0242401</t>
  </si>
  <si>
    <t>850YG5</t>
  </si>
  <si>
    <t>589972-C</t>
  </si>
  <si>
    <t>23354590</t>
  </si>
  <si>
    <t>260302864</t>
  </si>
  <si>
    <t>FWP-0242470</t>
  </si>
  <si>
    <t>74UG1N</t>
  </si>
  <si>
    <t>HUBP-2090</t>
  </si>
  <si>
    <t>606530-C</t>
  </si>
  <si>
    <t>23343939</t>
  </si>
  <si>
    <t>3324194/1313504</t>
  </si>
  <si>
    <t>FWP-0242522</t>
  </si>
  <si>
    <t>047YG6</t>
  </si>
  <si>
    <t>2090-HUBP</t>
  </si>
  <si>
    <t>606530-V</t>
  </si>
  <si>
    <t>23362947</t>
  </si>
  <si>
    <t>29UG8M</t>
  </si>
  <si>
    <t>TRA-222</t>
  </si>
  <si>
    <t>02141</t>
  </si>
  <si>
    <t>HERNANDEZ LOPEZ, ALEJANDRO</t>
  </si>
  <si>
    <t>HUBP-5713</t>
  </si>
  <si>
    <t>606589-C</t>
  </si>
  <si>
    <t>23349809</t>
  </si>
  <si>
    <t>1315665/3324303</t>
  </si>
  <si>
    <t>FWP-0242532</t>
  </si>
  <si>
    <t>025YG2</t>
  </si>
  <si>
    <t>5713-HUBP</t>
  </si>
  <si>
    <t>606589-V</t>
  </si>
  <si>
    <t>23364642</t>
  </si>
  <si>
    <t>TRA-157</t>
  </si>
  <si>
    <t>00607</t>
  </si>
  <si>
    <t>ZENON MEJIA, GERMAN JAVIER</t>
  </si>
  <si>
    <t>606608-C</t>
  </si>
  <si>
    <t>23350483</t>
  </si>
  <si>
    <t>1316310</t>
  </si>
  <si>
    <t>FWP-0242428</t>
  </si>
  <si>
    <t>557YG1</t>
  </si>
  <si>
    <t>606608-V</t>
  </si>
  <si>
    <t>23359734</t>
  </si>
  <si>
    <t>HUBP-6526</t>
  </si>
  <si>
    <t>NOPALUCAN DE LA GRANJA, PUEBLA</t>
  </si>
  <si>
    <t>606616-C</t>
  </si>
  <si>
    <t>23350810</t>
  </si>
  <si>
    <t>3324123/1315890</t>
  </si>
  <si>
    <t>FWP-0242386</t>
  </si>
  <si>
    <t>23YA8C</t>
  </si>
  <si>
    <t>6526-HUBP</t>
  </si>
  <si>
    <t>606616-V</t>
  </si>
  <si>
    <t>23361762</t>
  </si>
  <si>
    <t>HUBP-3796</t>
  </si>
  <si>
    <t>606639-C</t>
  </si>
  <si>
    <t>23352141</t>
  </si>
  <si>
    <t>3324205/1315232</t>
  </si>
  <si>
    <t>FWP-0242434</t>
  </si>
  <si>
    <t>60UB9R</t>
  </si>
  <si>
    <t>3796-HUBP</t>
  </si>
  <si>
    <t>606639-V</t>
  </si>
  <si>
    <t>23360526</t>
  </si>
  <si>
    <t>606721-C</t>
  </si>
  <si>
    <t>23354103</t>
  </si>
  <si>
    <t>1317203/1317202</t>
  </si>
  <si>
    <t>FWP-0242393</t>
  </si>
  <si>
    <t>927YG5</t>
  </si>
  <si>
    <t>606721-V</t>
  </si>
  <si>
    <t>23362162</t>
  </si>
  <si>
    <t>606718-C</t>
  </si>
  <si>
    <t>23354044</t>
  </si>
  <si>
    <t>1316383/1315384</t>
  </si>
  <si>
    <t>FWP-0242429</t>
  </si>
  <si>
    <t>10UB7H</t>
  </si>
  <si>
    <t>606718-V</t>
  </si>
  <si>
    <t>23359733</t>
  </si>
  <si>
    <t>606719-C</t>
  </si>
  <si>
    <t>23354045</t>
  </si>
  <si>
    <t>1316374/1315375</t>
  </si>
  <si>
    <t>FWP-0242394</t>
  </si>
  <si>
    <t>43UF9S</t>
  </si>
  <si>
    <t>606719-V</t>
  </si>
  <si>
    <t>23362138</t>
  </si>
  <si>
    <t>HUBP-1923</t>
  </si>
  <si>
    <t>606822-C</t>
  </si>
  <si>
    <t>23357140</t>
  </si>
  <si>
    <t>1317592/3324261</t>
  </si>
  <si>
    <t>FWP-0242319</t>
  </si>
  <si>
    <t>569YG5</t>
  </si>
  <si>
    <t>1923-HUBP</t>
  </si>
  <si>
    <t>606822-V</t>
  </si>
  <si>
    <t>23359681</t>
  </si>
  <si>
    <t>936YG5</t>
  </si>
  <si>
    <t>589978-V</t>
  </si>
  <si>
    <t>23362535</t>
  </si>
  <si>
    <t>735YF9</t>
  </si>
  <si>
    <t>589978-C</t>
  </si>
  <si>
    <t>23362543</t>
  </si>
  <si>
    <t>260302958</t>
  </si>
  <si>
    <t>589979-V</t>
  </si>
  <si>
    <t>23362553</t>
  </si>
  <si>
    <t>222YF9</t>
  </si>
  <si>
    <t>589979-C</t>
  </si>
  <si>
    <t>23362560</t>
  </si>
  <si>
    <t>260302959</t>
  </si>
  <si>
    <t>HUBP-2222</t>
  </si>
  <si>
    <t>606880-C</t>
  </si>
  <si>
    <t>23360676</t>
  </si>
  <si>
    <t>3325127/1315851</t>
  </si>
  <si>
    <t>FWP-0242530</t>
  </si>
  <si>
    <t>60UH3B</t>
  </si>
  <si>
    <t>2222-HUBP</t>
  </si>
  <si>
    <t>606880-V</t>
  </si>
  <si>
    <t>23363639</t>
  </si>
  <si>
    <t>589988-V</t>
  </si>
  <si>
    <t>23363877</t>
  </si>
  <si>
    <t>589988-C</t>
  </si>
  <si>
    <t>23363886</t>
  </si>
  <si>
    <t>260302999</t>
  </si>
  <si>
    <t>312YC4</t>
  </si>
  <si>
    <t>589990-V</t>
  </si>
  <si>
    <t>23363846</t>
  </si>
  <si>
    <t>41UJ6J</t>
  </si>
  <si>
    <t>589990-C</t>
  </si>
  <si>
    <t>23363851</t>
  </si>
  <si>
    <t>260302997</t>
  </si>
  <si>
    <t>884YG5</t>
  </si>
  <si>
    <t>606587-C</t>
  </si>
  <si>
    <t>23349736</t>
  </si>
  <si>
    <t>1315648/3324326</t>
  </si>
  <si>
    <t>FWP-0242537</t>
  </si>
  <si>
    <t>644YG3</t>
  </si>
  <si>
    <t>606587-V</t>
  </si>
  <si>
    <t>23366972</t>
  </si>
  <si>
    <t>20YA4H</t>
  </si>
  <si>
    <t>606816-C</t>
  </si>
  <si>
    <t>23357069</t>
  </si>
  <si>
    <t>3324310/1317590</t>
  </si>
  <si>
    <t>FWP-0242552</t>
  </si>
  <si>
    <t>49YA9C</t>
  </si>
  <si>
    <t>606816-V</t>
  </si>
  <si>
    <t>23367447</t>
  </si>
  <si>
    <t>HUBP-3773</t>
  </si>
  <si>
    <t>606901-C</t>
  </si>
  <si>
    <t>23361840</t>
  </si>
  <si>
    <t>1318133/3324143</t>
  </si>
  <si>
    <t>FWP-0242544</t>
  </si>
  <si>
    <t>839YG4</t>
  </si>
  <si>
    <t>3773-HUBP</t>
  </si>
  <si>
    <t>606901-V</t>
  </si>
  <si>
    <t>23367181</t>
  </si>
  <si>
    <t>UNIDAD DE CUAITITLAN</t>
  </si>
  <si>
    <t>TRA-258</t>
  </si>
  <si>
    <t>02204</t>
  </si>
  <si>
    <t>ESTRADA JIMENEZ, JOSE EMMANUEL</t>
  </si>
  <si>
    <t>606841-C</t>
  </si>
  <si>
    <t>23357841</t>
  </si>
  <si>
    <t>1317295/1317290</t>
  </si>
  <si>
    <t>FWP-0242385</t>
  </si>
  <si>
    <t>360YG4</t>
  </si>
  <si>
    <t>606841-V</t>
  </si>
  <si>
    <t>23361717</t>
  </si>
  <si>
    <t>NO APARECE NI EN POOL DE SENCILLOS NI EN FULL</t>
  </si>
  <si>
    <t>TRA-137</t>
  </si>
  <si>
    <t>02178</t>
  </si>
  <si>
    <t>GUTIERREZ MENDEZ, LUIS ALBERTO</t>
  </si>
  <si>
    <t>606068-C</t>
  </si>
  <si>
    <t>23320675</t>
  </si>
  <si>
    <t>1313429/3321609</t>
  </si>
  <si>
    <t>FWP-0241996</t>
  </si>
  <si>
    <t xml:space="preserve"> 320YD2</t>
  </si>
  <si>
    <t>606068-V</t>
  </si>
  <si>
    <t>23339675</t>
  </si>
  <si>
    <t>FWP-0242099</t>
  </si>
  <si>
    <t>011YC4</t>
  </si>
  <si>
    <t>00605</t>
  </si>
  <si>
    <t>CORTES MORALES, MAX URIEL</t>
  </si>
  <si>
    <t>HUBP-1977</t>
  </si>
  <si>
    <t>AMOZOC, PUEBLA</t>
  </si>
  <si>
    <t>606509-C</t>
  </si>
  <si>
    <t>23342928</t>
  </si>
  <si>
    <t>3324113/1313505</t>
  </si>
  <si>
    <t>FWP-0242140</t>
  </si>
  <si>
    <t>725YD7</t>
  </si>
  <si>
    <t>1977-HUBP</t>
  </si>
  <si>
    <t>606509-V</t>
  </si>
  <si>
    <t>23352435</t>
  </si>
  <si>
    <t>FWP-0242399</t>
  </si>
  <si>
    <t>TOTALES</t>
  </si>
  <si>
    <t>VIAJES SENCILLOS CARGADOS</t>
  </si>
  <si>
    <t>UNIDAD</t>
  </si>
  <si>
    <t>UNIDADES FULL EN VIAJES SENCILLOS</t>
  </si>
  <si>
    <t>Columna libre</t>
  </si>
  <si>
    <t>F</t>
  </si>
  <si>
    <t>MROCIO</t>
  </si>
  <si>
    <t>TRA-321</t>
  </si>
  <si>
    <t>00622</t>
  </si>
  <si>
    <t>CASOLCO ZARCO, CARLOS ALEJANDRO</t>
  </si>
  <si>
    <t>HUBP-CDCH</t>
  </si>
  <si>
    <t>CHALCO DE DIAZ COVARRUBIAS, EDO. DE MEXICO</t>
  </si>
  <si>
    <t>604407-V</t>
  </si>
  <si>
    <t>23281995</t>
  </si>
  <si>
    <t>604407-V/ SIN HOJA DE ID</t>
  </si>
  <si>
    <t>FWP-0240953</t>
  </si>
  <si>
    <t>OSCAR GONZALEZ</t>
  </si>
  <si>
    <t>CARLOS ALEJANDRO CASOLCO ZARCO</t>
  </si>
  <si>
    <t xml:space="preserve">06UG8M </t>
  </si>
  <si>
    <t>334YG4</t>
  </si>
  <si>
    <t>CDCH-HUBP</t>
  </si>
  <si>
    <t>604407-C</t>
  </si>
  <si>
    <t>23272438</t>
  </si>
  <si>
    <t>1306370-3315389-1306369</t>
  </si>
  <si>
    <t>FWCH-0115429</t>
  </si>
  <si>
    <t>34UF3S</t>
  </si>
  <si>
    <t>71YA8M</t>
  </si>
  <si>
    <t>CMARTINEZ</t>
  </si>
  <si>
    <t>TRA-238</t>
  </si>
  <si>
    <t>01469</t>
  </si>
  <si>
    <t>LOPEZ GARCIA, ARTURO JESUS</t>
  </si>
  <si>
    <t>604116-C</t>
  </si>
  <si>
    <t>23288990</t>
  </si>
  <si>
    <t>1308854-3317089-1309135-3318047</t>
  </si>
  <si>
    <t>FWP-0241038</t>
  </si>
  <si>
    <t>ARTURO JESUS LOPEZ GARCIA</t>
  </si>
  <si>
    <t>50UF3S</t>
  </si>
  <si>
    <t>891XT7</t>
  </si>
  <si>
    <t>604116-V</t>
  </si>
  <si>
    <t>23293444</t>
  </si>
  <si>
    <t>FWP-0241436</t>
  </si>
  <si>
    <t>TRA-255</t>
  </si>
  <si>
    <t>01875</t>
  </si>
  <si>
    <t>SANTANA LEON, SERGIO</t>
  </si>
  <si>
    <t>604129-V</t>
  </si>
  <si>
    <t>23293476</t>
  </si>
  <si>
    <t>FWP-0241438</t>
  </si>
  <si>
    <t>SERGIO SANTANA LEON</t>
  </si>
  <si>
    <t>604129-C</t>
  </si>
  <si>
    <t>23289210</t>
  </si>
  <si>
    <t>1308546-1308547-1308501-1308502</t>
  </si>
  <si>
    <t>FWCH-0115675</t>
  </si>
  <si>
    <t>661XT7</t>
  </si>
  <si>
    <t>TRA-330</t>
  </si>
  <si>
    <t>01649</t>
  </si>
  <si>
    <t>MUÑOZ AMAYO, GABRIEL</t>
  </si>
  <si>
    <t>604011-V</t>
  </si>
  <si>
    <t>23299675</t>
  </si>
  <si>
    <t>FWP-0241450</t>
  </si>
  <si>
    <t>TRA-369</t>
  </si>
  <si>
    <t>01849</t>
  </si>
  <si>
    <t>PONCE GALINDO, SANTOS</t>
  </si>
  <si>
    <t>604031-V</t>
  </si>
  <si>
    <t>23299809</t>
  </si>
  <si>
    <t>FWP-0241458</t>
  </si>
  <si>
    <t>SANTOS PONCE GALINDO</t>
  </si>
  <si>
    <t>604037-V</t>
  </si>
  <si>
    <t>23299784</t>
  </si>
  <si>
    <t>FWP-0241455</t>
  </si>
  <si>
    <t>TOC-358</t>
  </si>
  <si>
    <t>01179</t>
  </si>
  <si>
    <t>GARCIA PICHARDO, JESUS EUGENIO</t>
  </si>
  <si>
    <t>604930-V</t>
  </si>
  <si>
    <t>23299966</t>
  </si>
  <si>
    <t>FWP-0241461</t>
  </si>
  <si>
    <t>JESUS EUGENIO GARCIA PICHARDO</t>
  </si>
  <si>
    <t>604941-V</t>
  </si>
  <si>
    <t>23300170</t>
  </si>
  <si>
    <t>FWP-0241469</t>
  </si>
  <si>
    <t>TRA-252</t>
  </si>
  <si>
    <t>00796</t>
  </si>
  <si>
    <t>VARGAS MARTINEZ, ERIK JULIO</t>
  </si>
  <si>
    <t>604944-V</t>
  </si>
  <si>
    <t>23300167</t>
  </si>
  <si>
    <t>FWP-0241468</t>
  </si>
  <si>
    <t>ERIK JULIO VARGAS MARTINEZ</t>
  </si>
  <si>
    <t>TOC-35</t>
  </si>
  <si>
    <t>00141</t>
  </si>
  <si>
    <t>JIMENEZ DIAZ, VICTOR MANUEL</t>
  </si>
  <si>
    <t>604947-V</t>
  </si>
  <si>
    <t>23300164</t>
  </si>
  <si>
    <t>FWP-0241467</t>
  </si>
  <si>
    <t>VICTOR AMNUEL JIMENEZ DIAZ</t>
  </si>
  <si>
    <t>604011-C</t>
  </si>
  <si>
    <t>23293423</t>
  </si>
  <si>
    <t>1308936-1308937</t>
  </si>
  <si>
    <t>FWCH-0115707</t>
  </si>
  <si>
    <t>355YG5</t>
  </si>
  <si>
    <t>44UJ6J</t>
  </si>
  <si>
    <t>604031-C</t>
  </si>
  <si>
    <t>23294891</t>
  </si>
  <si>
    <t>1309655-1309656-1309642</t>
  </si>
  <si>
    <t>FWCH-0115716</t>
  </si>
  <si>
    <t>952YG3</t>
  </si>
  <si>
    <t>144YC7</t>
  </si>
  <si>
    <t>604037-C</t>
  </si>
  <si>
    <t>23294556</t>
  </si>
  <si>
    <t>1309120-3318085-1309200-3318929</t>
  </si>
  <si>
    <t>FWCH-0115713</t>
  </si>
  <si>
    <t>869YG5</t>
  </si>
  <si>
    <t>604930-C</t>
  </si>
  <si>
    <t>23294977</t>
  </si>
  <si>
    <t>1309185-3318026-1309121</t>
  </si>
  <si>
    <t>FWCH-0115725</t>
  </si>
  <si>
    <t>760YF9</t>
  </si>
  <si>
    <t>145YF5</t>
  </si>
  <si>
    <t>604941-C</t>
  </si>
  <si>
    <t>23296931</t>
  </si>
  <si>
    <t>1308889-3318846-1308971-3318883</t>
  </si>
  <si>
    <t>FWCH-0115741</t>
  </si>
  <si>
    <t>604944-C</t>
  </si>
  <si>
    <t>23296920</t>
  </si>
  <si>
    <t>1308835-3318828-1308836</t>
  </si>
  <si>
    <t>FWCH-0115734</t>
  </si>
  <si>
    <t>194YJ3</t>
  </si>
  <si>
    <t>47UH1B</t>
  </si>
  <si>
    <t>604947-C</t>
  </si>
  <si>
    <t>23296915</t>
  </si>
  <si>
    <t>1308882-3318829-1308975-3318886</t>
  </si>
  <si>
    <t>FWCH-0115731</t>
  </si>
  <si>
    <t>VICTOR MANUEL JIMENEZ DIAZ</t>
  </si>
  <si>
    <t>675YF9</t>
  </si>
  <si>
    <t>23YA4H</t>
  </si>
  <si>
    <t>604832-V</t>
  </si>
  <si>
    <t>23306693</t>
  </si>
  <si>
    <t>FWP-0241487</t>
  </si>
  <si>
    <t>604832-C</t>
  </si>
  <si>
    <t>23302520</t>
  </si>
  <si>
    <t>1310557-3319838-1310453</t>
  </si>
  <si>
    <t>FWCH-0115760</t>
  </si>
  <si>
    <t>21UG9M</t>
  </si>
  <si>
    <t>604732-V</t>
  </si>
  <si>
    <t>23342461</t>
  </si>
  <si>
    <t>FWP-0242039</t>
  </si>
  <si>
    <t>MANUELJ</t>
  </si>
  <si>
    <t>604664-V</t>
  </si>
  <si>
    <t>23338834</t>
  </si>
  <si>
    <t>FWP-0242031</t>
  </si>
  <si>
    <t>TRA-324</t>
  </si>
  <si>
    <t>01384</t>
  </si>
  <si>
    <t>SANCHEZ TEZOCO, ANTONIO</t>
  </si>
  <si>
    <t>604674-V</t>
  </si>
  <si>
    <t>23338861</t>
  </si>
  <si>
    <t>FWP-0242108</t>
  </si>
  <si>
    <t>604732-C</t>
  </si>
  <si>
    <t>23305126</t>
  </si>
  <si>
    <t>1311078-1311079-1311081</t>
  </si>
  <si>
    <t>FWCH-0115868</t>
  </si>
  <si>
    <t>GABRIEL MUÑOZ AMAYO</t>
  </si>
  <si>
    <t>78UJ6J</t>
  </si>
  <si>
    <t>604664-C</t>
  </si>
  <si>
    <t>23306590</t>
  </si>
  <si>
    <t>1311606-3318939 / 1311790-3320736</t>
  </si>
  <si>
    <t>FWCH-0115880</t>
  </si>
  <si>
    <t>317YH5</t>
  </si>
  <si>
    <t>339YG4</t>
  </si>
  <si>
    <t>604674-C</t>
  </si>
  <si>
    <t>23307883</t>
  </si>
  <si>
    <t>1311118-1311119 / 1311101-1311102</t>
  </si>
  <si>
    <t>FWCH-0115879</t>
  </si>
  <si>
    <t>ANTONIO SANCHEZ TEZOCO</t>
  </si>
  <si>
    <t>168YF9</t>
  </si>
  <si>
    <t>604531-V</t>
  </si>
  <si>
    <t>23321686</t>
  </si>
  <si>
    <t>FWP-0242170</t>
  </si>
  <si>
    <t>606019-C</t>
  </si>
  <si>
    <t>23318185</t>
  </si>
  <si>
    <t>311773-3320779 / 1311689-3320758</t>
  </si>
  <si>
    <t>FWCH-0116004</t>
  </si>
  <si>
    <t>08UH1S</t>
  </si>
  <si>
    <t>606019-V</t>
  </si>
  <si>
    <t>23342527</t>
  </si>
  <si>
    <t>FWP-0242051</t>
  </si>
  <si>
    <t>604531-C</t>
  </si>
  <si>
    <t>23314495</t>
  </si>
  <si>
    <t>1312439-1312440 / 1312446-1312447</t>
  </si>
  <si>
    <t>FWCH-0115943</t>
  </si>
  <si>
    <t>864YG5</t>
  </si>
  <si>
    <t>73YA9C</t>
  </si>
  <si>
    <t>606066-V</t>
  </si>
  <si>
    <t>23342548</t>
  </si>
  <si>
    <t>FWP-0242053</t>
  </si>
  <si>
    <t>606069-V</t>
  </si>
  <si>
    <t>23331134</t>
  </si>
  <si>
    <t>FWP-0242193</t>
  </si>
  <si>
    <t>606146-V</t>
  </si>
  <si>
    <t>23338944</t>
  </si>
  <si>
    <t>FWP-0242032</t>
  </si>
  <si>
    <t>XXXX</t>
  </si>
  <si>
    <t>606143-V</t>
  </si>
  <si>
    <t>23345326</t>
  </si>
  <si>
    <t>FWP-0242104</t>
  </si>
  <si>
    <t>606066-C</t>
  </si>
  <si>
    <t>23320673</t>
  </si>
  <si>
    <t>1311373-3321643-1313429-3321609</t>
  </si>
  <si>
    <t>FWCH-0116114</t>
  </si>
  <si>
    <t>49UF4S</t>
  </si>
  <si>
    <t>320YD2</t>
  </si>
  <si>
    <t>606069-C</t>
  </si>
  <si>
    <t>23320654</t>
  </si>
  <si>
    <t>1312515-1312516-1312594-1312595</t>
  </si>
  <si>
    <t>FWCH-0116115</t>
  </si>
  <si>
    <t>606146-C</t>
  </si>
  <si>
    <t>23324808</t>
  </si>
  <si>
    <t>1313716-3322484-1313613-3322495</t>
  </si>
  <si>
    <t>FWCH-0116445</t>
  </si>
  <si>
    <t>404YH5</t>
  </si>
  <si>
    <t>606143-C</t>
  </si>
  <si>
    <t>23326760</t>
  </si>
  <si>
    <t>1312811-3321541 / 1312908-3321593</t>
  </si>
  <si>
    <t>FWCH-0116180</t>
  </si>
  <si>
    <t>08YA8C</t>
  </si>
  <si>
    <t>876YG4</t>
  </si>
  <si>
    <t>606249-C</t>
  </si>
  <si>
    <t>23329638</t>
  </si>
  <si>
    <t>1313589-3321639-1313584-3321640</t>
  </si>
  <si>
    <t>FWCH-0116208</t>
  </si>
  <si>
    <t>974XT7</t>
  </si>
  <si>
    <t>14UG8M</t>
  </si>
  <si>
    <t>606249-V</t>
  </si>
  <si>
    <t>23338179</t>
  </si>
  <si>
    <t>FWP-0242034</t>
  </si>
  <si>
    <t>606352-C</t>
  </si>
  <si>
    <t>23333644</t>
  </si>
  <si>
    <t>1313676 / 1313938-3321586</t>
  </si>
  <si>
    <t>FWCH-0116320</t>
  </si>
  <si>
    <t>606352-V</t>
  </si>
  <si>
    <t>23338294</t>
  </si>
  <si>
    <t>FWP-0242355</t>
  </si>
  <si>
    <t>606299-C</t>
  </si>
  <si>
    <t>23333637</t>
  </si>
  <si>
    <t>13136973-3322434 / 1313677</t>
  </si>
  <si>
    <t>FWCH-0116309</t>
  </si>
  <si>
    <t>954YG3</t>
  </si>
  <si>
    <t>650YD7</t>
  </si>
  <si>
    <t>606299-V</t>
  </si>
  <si>
    <t>23338292</t>
  </si>
  <si>
    <t>FWP-0242354</t>
  </si>
  <si>
    <t>606474-C</t>
  </si>
  <si>
    <t>23340754</t>
  </si>
  <si>
    <t>1315760-3323291-1315702-3323235</t>
  </si>
  <si>
    <t>FWCH-0116408</t>
  </si>
  <si>
    <t>28YA4H</t>
  </si>
  <si>
    <t>606474-V</t>
  </si>
  <si>
    <t>23342711</t>
  </si>
  <si>
    <t>62UH1S</t>
  </si>
  <si>
    <t>606471-C</t>
  </si>
  <si>
    <t>23340732</t>
  </si>
  <si>
    <t>1315764-1315296-3324050</t>
  </si>
  <si>
    <t>FWCH-0116405</t>
  </si>
  <si>
    <t>78UG1N</t>
  </si>
  <si>
    <t>606471-V</t>
  </si>
  <si>
    <t>23342707</t>
  </si>
  <si>
    <t>606543-C</t>
  </si>
  <si>
    <t>23347217</t>
  </si>
  <si>
    <t>1315284 / 1315272-3314066</t>
  </si>
  <si>
    <t>FWCH-0116442</t>
  </si>
  <si>
    <t>58UH9X</t>
  </si>
  <si>
    <t>606543-V</t>
  </si>
  <si>
    <t>23355033</t>
  </si>
  <si>
    <t>605045-C</t>
  </si>
  <si>
    <t>23367500</t>
  </si>
  <si>
    <t>1318712-1318713-1318696-1318697</t>
  </si>
  <si>
    <t>921YG3</t>
  </si>
  <si>
    <t>605045-V</t>
  </si>
  <si>
    <t xml:space="preserve"> </t>
  </si>
  <si>
    <t>ELM-280</t>
  </si>
  <si>
    <t>605042-C</t>
  </si>
  <si>
    <t>23367706</t>
  </si>
  <si>
    <t>1317817-1317937-3326207</t>
  </si>
  <si>
    <t>FWCH-0116803</t>
  </si>
  <si>
    <t>96UG8M</t>
  </si>
  <si>
    <t>76UH3B</t>
  </si>
  <si>
    <t>605042-V</t>
  </si>
  <si>
    <t>605049-C</t>
  </si>
  <si>
    <t>1318012-1318198</t>
  </si>
  <si>
    <t>76YA5A</t>
  </si>
  <si>
    <t>02YA6A</t>
  </si>
  <si>
    <t>605049-V</t>
  </si>
  <si>
    <t>NO ESTA EN POOL PÉRO ES DE F PUEBLA</t>
  </si>
  <si>
    <t>FULL CORDOBA</t>
  </si>
  <si>
    <t>CUAUTI</t>
  </si>
  <si>
    <t>UNIDADES SENCILLO EN VIAJES FULL</t>
  </si>
  <si>
    <t>VIAJES FULL CARGADOS</t>
  </si>
  <si>
    <t>UNIDADES DE SENCILLO HACIENDO VIAJES DE FULL 12-02-2026 AL DIA 26-02-2026</t>
  </si>
  <si>
    <t>UNIDAD DE MULITAS PUEBLA</t>
  </si>
  <si>
    <t>COMENTARIOS</t>
  </si>
  <si>
    <t>UNIDAD NO ES DEL CIRCUITO WALMART</t>
  </si>
  <si>
    <t>TIENE ASISTENCIA EN RESOPE, PERO NO VIENE EN EL POOL PROPORCIONADO.</t>
  </si>
  <si>
    <t>UNIDAD FULL CORDOBA</t>
  </si>
  <si>
    <t>LA UNIDAD ORIGINALMENTE ESTABA EN CUAUTITLAN PERO PASO A SER SUSTITUIDA POR TRA-216/ DE IGUAL MANERA NO PERTENECE ESTA UNIDAD AL POOL DE PUEBLA</t>
  </si>
  <si>
    <t>FOTO COMPARTIDA DE POOL PUEBLA FULL</t>
  </si>
  <si>
    <t>RESOPE:</t>
  </si>
  <si>
    <t>ES EL PROGRAMA COMPARTIDO POR SISTEMAS PARA LLEVAR EL CONTROL DE LA ASISTENCIA DE LAS UNIDADES.</t>
  </si>
  <si>
    <t>FOTO COMPARTIDA DE POOL PUEBLA SENCILLOS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</si>
</sst>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1" xfId="0" applyBorder="1" applyAlignment="1">
      <alignment horizontal="center" vertical="center" wrapText="1"/>
    </xf>
    <xf numFmtId="164" fontId="0" fillId="0" borderId="1" xfId="1" applyNumberFormat="1" applyFont="1" applyFill="1" applyBorder="1" applyAlignment="1">
      <alignment horizontal="center" vertical="center" wrapText="1"/>
    </xf>
    <xf numFmtId="44" fontId="0" fillId="0" borderId="1" xfId="2" applyFont="1" applyFill="1" applyBorder="1" applyAlignment="1">
      <alignment horizontal="center" vertical="center" wrapText="1"/>
    </xf>
    <xf numFmtId="43" fontId="0" fillId="0" borderId="1" xfId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left"/>
    </xf>
    <xf numFmtId="14" fontId="0" fillId="0" borderId="1" xfId="0" applyNumberFormat="1" applyBorder="1"/>
    <xf numFmtId="22" fontId="0" fillId="0" borderId="1" xfId="0" applyNumberFormat="1" applyBorder="1"/>
    <xf numFmtId="14" fontId="0" fillId="3" borderId="1" xfId="0" applyNumberFormat="1" applyFill="1" applyBorder="1" applyAlignment="1">
      <alignment horizontal="center"/>
    </xf>
    <xf numFmtId="44" fontId="0" fillId="0" borderId="1" xfId="0" applyNumberFormat="1" applyBorder="1" applyAlignment="1">
      <alignment horizontal="center"/>
    </xf>
    <xf numFmtId="164" fontId="1" fillId="0" borderId="1" xfId="1" applyNumberFormat="1" applyFont="1" applyFill="1" applyBorder="1"/>
    <xf numFmtId="44" fontId="1" fillId="0" borderId="1" xfId="2" applyFont="1" applyFill="1" applyBorder="1"/>
    <xf numFmtId="4" fontId="0" fillId="0" borderId="1" xfId="0" applyNumberFormat="1" applyBorder="1"/>
    <xf numFmtId="0" fontId="0" fillId="0" borderId="0" xfId="0" applyAlignment="1">
      <alignment horizontal="left"/>
    </xf>
    <xf numFmtId="14" fontId="0" fillId="0" borderId="0" xfId="0" applyNumberFormat="1"/>
    <xf numFmtId="22" fontId="0" fillId="0" borderId="0" xfId="0" applyNumberFormat="1"/>
    <xf numFmtId="14" fontId="0" fillId="4" borderId="0" xfId="0" applyNumberFormat="1" applyFill="1" applyAlignment="1">
      <alignment horizontal="center"/>
    </xf>
    <xf numFmtId="44" fontId="0" fillId="0" borderId="0" xfId="0" applyNumberFormat="1" applyAlignment="1">
      <alignment horizontal="center"/>
    </xf>
    <xf numFmtId="164" fontId="1" fillId="0" borderId="0" xfId="1" applyNumberFormat="1" applyFont="1" applyFill="1"/>
    <xf numFmtId="44" fontId="1" fillId="0" borderId="0" xfId="2" applyFont="1" applyFill="1"/>
    <xf numFmtId="4" fontId="0" fillId="0" borderId="0" xfId="0" applyNumberFormat="1"/>
    <xf numFmtId="14" fontId="0" fillId="0" borderId="0" xfId="0" applyNumberFormat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0" xfId="1" applyNumberFormat="1" applyFont="1" applyFill="1" applyAlignment="1">
      <alignment horizontal="center" vertical="center" wrapText="1"/>
    </xf>
    <xf numFmtId="44" fontId="0" fillId="0" borderId="0" xfId="2" applyFont="1" applyFill="1" applyAlignment="1">
      <alignment horizontal="center" vertical="center" wrapText="1"/>
    </xf>
    <xf numFmtId="43" fontId="0" fillId="0" borderId="0" xfId="1" applyFont="1" applyFill="1" applyAlignment="1">
      <alignment horizontal="center" vertical="center" wrapText="1"/>
    </xf>
    <xf numFmtId="14" fontId="0" fillId="8" borderId="0" xfId="0" applyNumberFormat="1" applyFill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9" borderId="0" xfId="0" applyFill="1" applyAlignment="1">
      <alignment horizontal="center" wrapText="1"/>
    </xf>
    <xf numFmtId="0" fontId="3" fillId="6" borderId="0" xfId="0" applyFont="1" applyFill="1"/>
    <xf numFmtId="0" fontId="4" fillId="0" borderId="0" xfId="0" applyFont="1"/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9526</xdr:colOff>
      <xdr:row>0</xdr:row>
      <xdr:rowOff>180975</xdr:rowOff>
    </xdr:from>
    <xdr:to>
      <xdr:col>9</xdr:col>
      <xdr:colOff>414681</xdr:colOff>
      <xdr:row>22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337EA6E-8D17-4C5A-9E41-85B3C1211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1" y="180975"/>
          <a:ext cx="3453155" cy="4048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677838</xdr:colOff>
      <xdr:row>0</xdr:row>
      <xdr:rowOff>28576</xdr:rowOff>
    </xdr:from>
    <xdr:to>
      <xdr:col>10</xdr:col>
      <xdr:colOff>447022</xdr:colOff>
      <xdr:row>19</xdr:row>
      <xdr:rowOff>58074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CCC00F0-3F7A-47C7-AAC9-164C3C964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8363" y="28576"/>
          <a:ext cx="4341184" cy="44109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EA836-AB11-419C-982D-ABED36011318}">
  <dimension ref="A1:AO206"/>
  <sheetViews>
    <sheetView tabSelected="1" topLeftCell="AC1" workbookViewId="0">
      <selection sqref="A1:AO1"/>
    </sheetView>
  </sheetViews>
  <sheetFormatPr baseColWidth="10" defaultRowHeight="15" x14ac:dyDescent="0.25"/>
  <cols>
    <col min="1" max="1" width="45.85546875" bestFit="1" customWidth="1"/>
    <col min="2" max="2" width="14" bestFit="1" customWidth="1"/>
    <col min="3" max="3" width="9.28515625" bestFit="1" customWidth="1"/>
    <col min="4" max="4" width="6.42578125" bestFit="1" customWidth="1"/>
    <col min="5" max="5" width="15.5703125" bestFit="1" customWidth="1"/>
    <col min="6" max="6" width="6" bestFit="1" customWidth="1"/>
    <col min="7" max="9" width="15.7109375" bestFit="1" customWidth="1"/>
    <col min="10" max="10" width="18" bestFit="1" customWidth="1"/>
    <col min="11" max="11" width="10" bestFit="1" customWidth="1"/>
    <col min="12" max="12" width="12.28515625" bestFit="1" customWidth="1"/>
    <col min="13" max="13" width="35.42578125" bestFit="1" customWidth="1"/>
    <col min="14" max="14" width="19.28515625" bestFit="1" customWidth="1"/>
    <col min="15" max="15" width="14.85546875" bestFit="1" customWidth="1"/>
    <col min="16" max="16" width="33.42578125" bestFit="1" customWidth="1"/>
    <col min="17" max="17" width="36.85546875" bestFit="1" customWidth="1"/>
    <col min="18" max="18" width="13.140625" bestFit="1" customWidth="1"/>
    <col min="19" max="19" width="10.140625" bestFit="1" customWidth="1"/>
    <col min="20" max="20" width="11.140625" bestFit="1" customWidth="1"/>
    <col min="21" max="21" width="13.140625" bestFit="1" customWidth="1"/>
    <col min="22" max="22" width="35.28515625" bestFit="1" customWidth="1"/>
    <col min="23" max="23" width="18" bestFit="1" customWidth="1"/>
    <col min="24" max="24" width="12.7109375" bestFit="1" customWidth="1"/>
    <col min="25" max="25" width="17.42578125" bestFit="1" customWidth="1"/>
    <col min="26" max="27" width="14.42578125" bestFit="1" customWidth="1"/>
    <col min="28" max="28" width="18.140625" bestFit="1" customWidth="1"/>
    <col min="29" max="29" width="14.7109375" bestFit="1" customWidth="1"/>
    <col min="30" max="30" width="9.140625" bestFit="1" customWidth="1"/>
    <col min="31" max="31" width="16.42578125" bestFit="1" customWidth="1"/>
    <col min="32" max="32" width="12.5703125" bestFit="1" customWidth="1"/>
    <col min="33" max="33" width="27.42578125" bestFit="1" customWidth="1"/>
    <col min="34" max="34" width="22.5703125" bestFit="1" customWidth="1"/>
    <col min="35" max="35" width="21.5703125" bestFit="1" customWidth="1"/>
    <col min="36" max="36" width="20.42578125" bestFit="1" customWidth="1"/>
    <col min="37" max="37" width="34.85546875" bestFit="1" customWidth="1"/>
    <col min="38" max="38" width="14.85546875" bestFit="1" customWidth="1"/>
    <col min="39" max="39" width="17.28515625" bestFit="1" customWidth="1"/>
    <col min="40" max="41" width="21.7109375" bestFit="1" customWidth="1"/>
  </cols>
  <sheetData>
    <row r="1" spans="1:41" ht="46.5" customHeight="1" x14ac:dyDescent="0.25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</row>
    <row r="2" spans="1:4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2" t="s">
        <v>20</v>
      </c>
      <c r="U2" s="3" t="s">
        <v>21</v>
      </c>
      <c r="V2" s="1" t="s">
        <v>22</v>
      </c>
      <c r="W2" s="3" t="s">
        <v>23</v>
      </c>
      <c r="X2" s="1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4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</row>
    <row r="3" spans="1:41" x14ac:dyDescent="0.25">
      <c r="A3" s="5" t="s">
        <v>42</v>
      </c>
      <c r="B3" s="6" t="s">
        <v>43</v>
      </c>
      <c r="C3" s="5">
        <v>4</v>
      </c>
      <c r="D3" s="5" t="s">
        <v>44</v>
      </c>
      <c r="E3" s="7" t="s">
        <v>45</v>
      </c>
      <c r="F3" s="5">
        <v>16759</v>
      </c>
      <c r="G3" s="8">
        <v>46065</v>
      </c>
      <c r="H3" s="8">
        <v>46065</v>
      </c>
      <c r="I3" s="8">
        <v>46065</v>
      </c>
      <c r="J3" s="8">
        <v>46065</v>
      </c>
      <c r="K3" s="9" t="s">
        <v>46</v>
      </c>
      <c r="L3" s="7" t="s">
        <v>47</v>
      </c>
      <c r="M3" s="5" t="s">
        <v>48</v>
      </c>
      <c r="N3" s="5" t="s">
        <v>49</v>
      </c>
      <c r="O3" s="5" t="s">
        <v>50</v>
      </c>
      <c r="P3" s="7" t="s">
        <v>51</v>
      </c>
      <c r="Q3" s="7" t="s">
        <v>51</v>
      </c>
      <c r="R3" s="10" t="s">
        <v>52</v>
      </c>
      <c r="S3" s="7" t="s">
        <v>53</v>
      </c>
      <c r="T3" s="11">
        <v>11.4</v>
      </c>
      <c r="U3" s="12">
        <v>0</v>
      </c>
      <c r="V3" s="7" t="s">
        <v>54</v>
      </c>
      <c r="W3" s="12">
        <v>0</v>
      </c>
      <c r="X3" s="5" t="s">
        <v>55</v>
      </c>
      <c r="Y3" s="12">
        <v>281.20999999999998</v>
      </c>
      <c r="Z3" s="12">
        <v>0.13</v>
      </c>
      <c r="AA3" s="12">
        <v>106.08</v>
      </c>
      <c r="AB3" s="12">
        <v>175</v>
      </c>
      <c r="AC3" s="12">
        <v>0</v>
      </c>
      <c r="AD3" s="13">
        <v>82</v>
      </c>
      <c r="AE3" s="5"/>
      <c r="AF3" s="5"/>
      <c r="AG3" s="5">
        <v>0</v>
      </c>
      <c r="AH3" s="5">
        <v>0</v>
      </c>
      <c r="AI3" s="7"/>
      <c r="AJ3" s="5"/>
      <c r="AK3" s="5"/>
      <c r="AL3" s="7">
        <v>46066.601944444446</v>
      </c>
      <c r="AM3" s="7" t="s">
        <v>56</v>
      </c>
      <c r="AN3" s="7" t="s">
        <v>57</v>
      </c>
      <c r="AO3" s="7" t="s">
        <v>58</v>
      </c>
    </row>
    <row r="4" spans="1:41" x14ac:dyDescent="0.25">
      <c r="A4" s="5" t="s">
        <v>42</v>
      </c>
      <c r="B4" s="6" t="s">
        <v>43</v>
      </c>
      <c r="C4" s="5">
        <v>4</v>
      </c>
      <c r="D4" s="5" t="s">
        <v>44</v>
      </c>
      <c r="E4" s="7" t="s">
        <v>45</v>
      </c>
      <c r="F4" s="5">
        <v>16760</v>
      </c>
      <c r="G4" s="8">
        <v>46065</v>
      </c>
      <c r="H4" s="8">
        <v>46065</v>
      </c>
      <c r="I4" s="8">
        <v>46065</v>
      </c>
      <c r="J4" s="8">
        <v>46065</v>
      </c>
      <c r="K4" s="9" t="s">
        <v>46</v>
      </c>
      <c r="L4" s="7" t="s">
        <v>47</v>
      </c>
      <c r="M4" s="5" t="s">
        <v>48</v>
      </c>
      <c r="N4" s="5" t="s">
        <v>49</v>
      </c>
      <c r="O4" s="5" t="s">
        <v>59</v>
      </c>
      <c r="P4" s="7" t="s">
        <v>51</v>
      </c>
      <c r="Q4" s="7" t="s">
        <v>51</v>
      </c>
      <c r="R4" s="10" t="s">
        <v>60</v>
      </c>
      <c r="S4" s="7" t="s">
        <v>61</v>
      </c>
      <c r="T4" s="11">
        <v>13.1</v>
      </c>
      <c r="U4" s="12">
        <v>0</v>
      </c>
      <c r="V4" s="7" t="s">
        <v>62</v>
      </c>
      <c r="W4" s="12">
        <v>0</v>
      </c>
      <c r="X4" s="5" t="s">
        <v>63</v>
      </c>
      <c r="Y4" s="12">
        <v>295.95</v>
      </c>
      <c r="Z4" s="12">
        <v>0.11</v>
      </c>
      <c r="AA4" s="12">
        <v>92.39</v>
      </c>
      <c r="AB4" s="12">
        <v>203.45</v>
      </c>
      <c r="AC4" s="12">
        <v>0</v>
      </c>
      <c r="AD4" s="13">
        <v>11</v>
      </c>
      <c r="AE4" s="5"/>
      <c r="AF4" s="5"/>
      <c r="AG4" s="5">
        <v>0</v>
      </c>
      <c r="AH4" s="5">
        <v>0</v>
      </c>
      <c r="AI4" s="7"/>
      <c r="AJ4" s="5"/>
      <c r="AK4" s="5"/>
      <c r="AL4" s="7">
        <v>46066.639479166668</v>
      </c>
      <c r="AM4" s="7" t="s">
        <v>56</v>
      </c>
      <c r="AN4" s="7" t="s">
        <v>64</v>
      </c>
      <c r="AO4" s="7" t="s">
        <v>58</v>
      </c>
    </row>
    <row r="5" spans="1:41" x14ac:dyDescent="0.25">
      <c r="A5" s="5" t="s">
        <v>42</v>
      </c>
      <c r="B5" s="6" t="s">
        <v>43</v>
      </c>
      <c r="C5" s="5">
        <v>4</v>
      </c>
      <c r="D5" s="5" t="s">
        <v>44</v>
      </c>
      <c r="E5" s="7" t="s">
        <v>45</v>
      </c>
      <c r="F5" s="5">
        <v>16762</v>
      </c>
      <c r="G5" s="8">
        <v>46065</v>
      </c>
      <c r="H5" s="8">
        <v>46065</v>
      </c>
      <c r="I5" s="8">
        <v>46065</v>
      </c>
      <c r="J5" s="8">
        <v>46065</v>
      </c>
      <c r="K5" s="9" t="s">
        <v>46</v>
      </c>
      <c r="L5" s="7" t="s">
        <v>47</v>
      </c>
      <c r="M5" s="5" t="s">
        <v>48</v>
      </c>
      <c r="N5" s="5" t="s">
        <v>49</v>
      </c>
      <c r="O5" s="5" t="s">
        <v>50</v>
      </c>
      <c r="P5" s="7" t="s">
        <v>51</v>
      </c>
      <c r="Q5" s="7" t="s">
        <v>51</v>
      </c>
      <c r="R5" s="10" t="s">
        <v>65</v>
      </c>
      <c r="S5" s="7" t="s">
        <v>66</v>
      </c>
      <c r="T5" s="11">
        <v>11.4</v>
      </c>
      <c r="U5" s="12">
        <v>0</v>
      </c>
      <c r="V5" s="7" t="s">
        <v>54</v>
      </c>
      <c r="W5" s="12">
        <v>0</v>
      </c>
      <c r="X5" s="5" t="s">
        <v>67</v>
      </c>
      <c r="Y5" s="12">
        <v>281.20999999999998</v>
      </c>
      <c r="Z5" s="12">
        <v>0.13</v>
      </c>
      <c r="AA5" s="12">
        <v>106.08</v>
      </c>
      <c r="AB5" s="12">
        <v>175</v>
      </c>
      <c r="AC5" s="12">
        <v>0</v>
      </c>
      <c r="AD5" s="13">
        <v>14</v>
      </c>
      <c r="AE5" s="5"/>
      <c r="AF5" s="5"/>
      <c r="AG5" s="5">
        <v>0</v>
      </c>
      <c r="AH5" s="5">
        <v>0</v>
      </c>
      <c r="AI5" s="7"/>
      <c r="AJ5" s="5"/>
      <c r="AK5" s="5"/>
      <c r="AL5" s="7">
        <v>46066.602071759262</v>
      </c>
      <c r="AM5" s="7" t="s">
        <v>56</v>
      </c>
      <c r="AN5" s="7" t="s">
        <v>68</v>
      </c>
      <c r="AO5" s="7" t="s">
        <v>58</v>
      </c>
    </row>
    <row r="6" spans="1:41" x14ac:dyDescent="0.25">
      <c r="A6" s="5" t="s">
        <v>42</v>
      </c>
      <c r="B6" s="6" t="s">
        <v>43</v>
      </c>
      <c r="C6" s="5">
        <v>4</v>
      </c>
      <c r="D6" s="5" t="s">
        <v>44</v>
      </c>
      <c r="E6" s="7" t="s">
        <v>45</v>
      </c>
      <c r="F6" s="5">
        <v>16766</v>
      </c>
      <c r="G6" s="8">
        <v>46065</v>
      </c>
      <c r="H6" s="8">
        <v>46065</v>
      </c>
      <c r="I6" s="8">
        <v>46065</v>
      </c>
      <c r="J6" s="8">
        <v>46065</v>
      </c>
      <c r="K6" s="9" t="s">
        <v>46</v>
      </c>
      <c r="L6" s="7" t="s">
        <v>47</v>
      </c>
      <c r="M6" s="5" t="s">
        <v>48</v>
      </c>
      <c r="N6" s="5" t="s">
        <v>49</v>
      </c>
      <c r="O6" s="5" t="s">
        <v>59</v>
      </c>
      <c r="P6" s="7" t="s">
        <v>51</v>
      </c>
      <c r="Q6" s="7" t="s">
        <v>51</v>
      </c>
      <c r="R6" s="10" t="s">
        <v>69</v>
      </c>
      <c r="S6" s="7" t="s">
        <v>70</v>
      </c>
      <c r="T6" s="11">
        <v>13.1</v>
      </c>
      <c r="U6" s="12">
        <v>0</v>
      </c>
      <c r="V6" s="7" t="s">
        <v>71</v>
      </c>
      <c r="W6" s="12">
        <v>0</v>
      </c>
      <c r="X6" s="5" t="s">
        <v>72</v>
      </c>
      <c r="Y6" s="12">
        <v>295.95</v>
      </c>
      <c r="Z6" s="12">
        <v>0.11</v>
      </c>
      <c r="AA6" s="12">
        <v>92.39</v>
      </c>
      <c r="AB6" s="12">
        <v>203.45</v>
      </c>
      <c r="AC6" s="12">
        <v>0</v>
      </c>
      <c r="AD6" s="13"/>
      <c r="AE6" s="5"/>
      <c r="AF6" s="5"/>
      <c r="AG6" s="5">
        <v>0</v>
      </c>
      <c r="AH6" s="5">
        <v>0</v>
      </c>
      <c r="AI6" s="7"/>
      <c r="AJ6" s="5"/>
      <c r="AK6" s="5"/>
      <c r="AL6" s="7">
        <v>46066.63958333333</v>
      </c>
      <c r="AM6" s="7" t="s">
        <v>56</v>
      </c>
      <c r="AN6" s="7" t="s">
        <v>73</v>
      </c>
      <c r="AO6" s="7" t="s">
        <v>58</v>
      </c>
    </row>
    <row r="7" spans="1:41" x14ac:dyDescent="0.25">
      <c r="A7" s="5" t="s">
        <v>42</v>
      </c>
      <c r="B7" s="6" t="s">
        <v>43</v>
      </c>
      <c r="C7" s="5">
        <v>4</v>
      </c>
      <c r="D7" s="5" t="s">
        <v>44</v>
      </c>
      <c r="E7" s="7" t="s">
        <v>74</v>
      </c>
      <c r="F7" s="5">
        <v>17147</v>
      </c>
      <c r="G7" s="8">
        <v>46066</v>
      </c>
      <c r="H7" s="8">
        <v>46066</v>
      </c>
      <c r="I7" s="8">
        <v>46067</v>
      </c>
      <c r="J7" s="8">
        <v>46067</v>
      </c>
      <c r="K7" s="9" t="s">
        <v>75</v>
      </c>
      <c r="L7" s="7" t="s">
        <v>76</v>
      </c>
      <c r="M7" s="5" t="s">
        <v>77</v>
      </c>
      <c r="N7" s="5" t="s">
        <v>49</v>
      </c>
      <c r="O7" s="5" t="s">
        <v>78</v>
      </c>
      <c r="P7" s="7" t="s">
        <v>51</v>
      </c>
      <c r="Q7" s="7" t="s">
        <v>51</v>
      </c>
      <c r="R7" s="10" t="s">
        <v>79</v>
      </c>
      <c r="S7" s="7" t="s">
        <v>80</v>
      </c>
      <c r="T7" s="11">
        <v>14.5</v>
      </c>
      <c r="U7" s="12">
        <v>0</v>
      </c>
      <c r="V7" s="7" t="s">
        <v>81</v>
      </c>
      <c r="W7" s="12">
        <v>0</v>
      </c>
      <c r="X7" s="5" t="s">
        <v>82</v>
      </c>
      <c r="Y7" s="12">
        <v>431.1</v>
      </c>
      <c r="Z7" s="12">
        <v>131.08000000000001</v>
      </c>
      <c r="AA7" s="12">
        <v>125.02</v>
      </c>
      <c r="AB7" s="12">
        <v>175</v>
      </c>
      <c r="AC7" s="12">
        <v>0</v>
      </c>
      <c r="AD7" s="13"/>
      <c r="AE7" s="5"/>
      <c r="AF7" s="5"/>
      <c r="AG7" s="5">
        <v>1</v>
      </c>
      <c r="AH7" s="5">
        <v>1</v>
      </c>
      <c r="AI7" s="7">
        <v>46072.500694444447</v>
      </c>
      <c r="AJ7" s="5" t="s">
        <v>83</v>
      </c>
      <c r="AK7" s="5" t="s">
        <v>84</v>
      </c>
      <c r="AL7" s="7">
        <v>46067.954050925924</v>
      </c>
      <c r="AM7" s="7" t="s">
        <v>85</v>
      </c>
      <c r="AN7" s="7" t="s">
        <v>86</v>
      </c>
      <c r="AO7" s="7" t="s">
        <v>58</v>
      </c>
    </row>
    <row r="8" spans="1:41" x14ac:dyDescent="0.25">
      <c r="A8" s="5" t="s">
        <v>42</v>
      </c>
      <c r="B8" s="6" t="s">
        <v>43</v>
      </c>
      <c r="C8" s="5">
        <v>4</v>
      </c>
      <c r="D8" s="5" t="s">
        <v>44</v>
      </c>
      <c r="E8" s="7" t="s">
        <v>74</v>
      </c>
      <c r="F8" s="5">
        <v>17148</v>
      </c>
      <c r="G8" s="8">
        <v>46067</v>
      </c>
      <c r="H8" s="8">
        <v>46067</v>
      </c>
      <c r="I8" s="8">
        <v>46067</v>
      </c>
      <c r="J8" s="8">
        <v>46067</v>
      </c>
      <c r="K8" s="9" t="s">
        <v>75</v>
      </c>
      <c r="L8" s="7" t="s">
        <v>76</v>
      </c>
      <c r="M8" s="5" t="s">
        <v>77</v>
      </c>
      <c r="N8" s="5" t="s">
        <v>49</v>
      </c>
      <c r="O8" s="5" t="s">
        <v>87</v>
      </c>
      <c r="P8" s="7" t="s">
        <v>51</v>
      </c>
      <c r="Q8" s="7" t="s">
        <v>51</v>
      </c>
      <c r="R8" s="10" t="s">
        <v>88</v>
      </c>
      <c r="S8" s="7" t="s">
        <v>89</v>
      </c>
      <c r="T8" s="11">
        <v>12.8</v>
      </c>
      <c r="U8" s="12">
        <v>0</v>
      </c>
      <c r="V8" s="7" t="s">
        <v>90</v>
      </c>
      <c r="W8" s="12">
        <v>0</v>
      </c>
      <c r="X8" s="5" t="s">
        <v>91</v>
      </c>
      <c r="Y8" s="12">
        <v>429.54</v>
      </c>
      <c r="Z8" s="12">
        <v>115.71</v>
      </c>
      <c r="AA8" s="12">
        <v>110.38</v>
      </c>
      <c r="AB8" s="12">
        <v>203.45</v>
      </c>
      <c r="AC8" s="12">
        <v>0</v>
      </c>
      <c r="AD8" s="13"/>
      <c r="AE8" s="5"/>
      <c r="AF8" s="5"/>
      <c r="AG8" s="5">
        <v>1</v>
      </c>
      <c r="AH8" s="5">
        <v>1</v>
      </c>
      <c r="AI8" s="7">
        <v>46072.500694444447</v>
      </c>
      <c r="AJ8" s="5" t="s">
        <v>83</v>
      </c>
      <c r="AK8" s="5" t="s">
        <v>84</v>
      </c>
      <c r="AL8" s="7">
        <v>46069.770567129628</v>
      </c>
      <c r="AM8" s="7" t="s">
        <v>92</v>
      </c>
      <c r="AN8" s="7" t="s">
        <v>86</v>
      </c>
      <c r="AO8" s="7" t="s">
        <v>58</v>
      </c>
    </row>
    <row r="9" spans="1:41" x14ac:dyDescent="0.25">
      <c r="A9" s="5" t="s">
        <v>42</v>
      </c>
      <c r="B9" s="6" t="s">
        <v>43</v>
      </c>
      <c r="C9" s="5">
        <v>4</v>
      </c>
      <c r="D9" s="5" t="s">
        <v>44</v>
      </c>
      <c r="E9" s="7" t="s">
        <v>93</v>
      </c>
      <c r="F9" s="5">
        <v>17184</v>
      </c>
      <c r="G9" s="8">
        <v>46066</v>
      </c>
      <c r="H9" s="8">
        <v>46066</v>
      </c>
      <c r="I9" s="8">
        <v>46067</v>
      </c>
      <c r="J9" s="8">
        <v>46067</v>
      </c>
      <c r="K9" s="9" t="s">
        <v>94</v>
      </c>
      <c r="L9" s="7" t="s">
        <v>95</v>
      </c>
      <c r="M9" s="5" t="s">
        <v>96</v>
      </c>
      <c r="N9" s="5" t="s">
        <v>49</v>
      </c>
      <c r="O9" s="5" t="s">
        <v>78</v>
      </c>
      <c r="P9" s="7" t="s">
        <v>51</v>
      </c>
      <c r="Q9" s="7" t="s">
        <v>51</v>
      </c>
      <c r="R9" s="10" t="s">
        <v>97</v>
      </c>
      <c r="S9" s="7" t="s">
        <v>98</v>
      </c>
      <c r="T9" s="11">
        <v>14.5</v>
      </c>
      <c r="U9" s="12">
        <v>0</v>
      </c>
      <c r="V9" s="7" t="s">
        <v>99</v>
      </c>
      <c r="W9" s="12">
        <v>0</v>
      </c>
      <c r="X9" s="5" t="s">
        <v>100</v>
      </c>
      <c r="Y9" s="12">
        <v>431.12</v>
      </c>
      <c r="Z9" s="12">
        <v>131.08000000000001</v>
      </c>
      <c r="AA9" s="12">
        <v>125.04</v>
      </c>
      <c r="AB9" s="12">
        <v>175</v>
      </c>
      <c r="AC9" s="12">
        <v>0</v>
      </c>
      <c r="AD9" s="13"/>
      <c r="AE9" s="5"/>
      <c r="AF9" s="5"/>
      <c r="AG9" s="5">
        <v>1</v>
      </c>
      <c r="AH9" s="5">
        <v>1</v>
      </c>
      <c r="AI9" s="7">
        <v>46072.507638888892</v>
      </c>
      <c r="AJ9" s="5" t="s">
        <v>83</v>
      </c>
      <c r="AK9" s="5" t="s">
        <v>101</v>
      </c>
      <c r="AL9" s="7">
        <v>46069.90047453704</v>
      </c>
      <c r="AM9" s="7" t="s">
        <v>56</v>
      </c>
      <c r="AN9" s="7" t="s">
        <v>102</v>
      </c>
      <c r="AO9" s="7" t="s">
        <v>58</v>
      </c>
    </row>
    <row r="10" spans="1:41" x14ac:dyDescent="0.25">
      <c r="A10" s="5" t="s">
        <v>42</v>
      </c>
      <c r="B10" s="6" t="s">
        <v>43</v>
      </c>
      <c r="C10" s="5">
        <v>4</v>
      </c>
      <c r="D10" s="5" t="s">
        <v>44</v>
      </c>
      <c r="E10" s="7" t="s">
        <v>93</v>
      </c>
      <c r="F10" s="5">
        <v>17185</v>
      </c>
      <c r="G10" s="8">
        <v>46067</v>
      </c>
      <c r="H10" s="8">
        <v>46067</v>
      </c>
      <c r="I10" s="8">
        <v>46067</v>
      </c>
      <c r="J10" s="8">
        <v>46067</v>
      </c>
      <c r="K10" s="9" t="s">
        <v>94</v>
      </c>
      <c r="L10" s="7" t="s">
        <v>95</v>
      </c>
      <c r="M10" s="5" t="s">
        <v>96</v>
      </c>
      <c r="N10" s="5" t="s">
        <v>49</v>
      </c>
      <c r="O10" s="5" t="s">
        <v>87</v>
      </c>
      <c r="P10" s="7" t="s">
        <v>51</v>
      </c>
      <c r="Q10" s="7" t="s">
        <v>51</v>
      </c>
      <c r="R10" s="10" t="s">
        <v>103</v>
      </c>
      <c r="S10" s="7" t="s">
        <v>104</v>
      </c>
      <c r="T10" s="11">
        <v>12.8</v>
      </c>
      <c r="U10" s="12">
        <v>0</v>
      </c>
      <c r="V10" s="7" t="s">
        <v>105</v>
      </c>
      <c r="W10" s="12">
        <v>0</v>
      </c>
      <c r="X10" s="5" t="s">
        <v>106</v>
      </c>
      <c r="Y10" s="12">
        <v>429.54</v>
      </c>
      <c r="Z10" s="12">
        <v>115.71</v>
      </c>
      <c r="AA10" s="12">
        <v>110.38</v>
      </c>
      <c r="AB10" s="12">
        <v>203.45</v>
      </c>
      <c r="AC10" s="12">
        <v>0</v>
      </c>
      <c r="AD10" s="13"/>
      <c r="AE10" s="5"/>
      <c r="AF10" s="5"/>
      <c r="AG10" s="5">
        <v>1</v>
      </c>
      <c r="AH10" s="5">
        <v>1</v>
      </c>
      <c r="AI10" s="7">
        <v>46072.508333333331</v>
      </c>
      <c r="AJ10" s="5" t="s">
        <v>83</v>
      </c>
      <c r="AK10" s="5" t="s">
        <v>101</v>
      </c>
      <c r="AL10" s="7">
        <v>46069.776296296295</v>
      </c>
      <c r="AM10" s="7" t="s">
        <v>92</v>
      </c>
      <c r="AN10" s="7" t="s">
        <v>107</v>
      </c>
      <c r="AO10" s="7" t="s">
        <v>58</v>
      </c>
    </row>
    <row r="11" spans="1:41" x14ac:dyDescent="0.25">
      <c r="A11" s="5" t="s">
        <v>42</v>
      </c>
      <c r="B11" s="6" t="s">
        <v>43</v>
      </c>
      <c r="C11" s="5">
        <v>4</v>
      </c>
      <c r="D11" s="5" t="s">
        <v>44</v>
      </c>
      <c r="E11" s="7" t="s">
        <v>93</v>
      </c>
      <c r="F11" s="5">
        <v>17187</v>
      </c>
      <c r="G11" s="8">
        <v>46066</v>
      </c>
      <c r="H11" s="8">
        <v>46066</v>
      </c>
      <c r="I11" s="8">
        <v>46067</v>
      </c>
      <c r="J11" s="8">
        <v>46067</v>
      </c>
      <c r="K11" s="9" t="s">
        <v>108</v>
      </c>
      <c r="L11" s="7" t="s">
        <v>109</v>
      </c>
      <c r="M11" s="5" t="s">
        <v>110</v>
      </c>
      <c r="N11" s="5" t="s">
        <v>49</v>
      </c>
      <c r="O11" s="5" t="s">
        <v>111</v>
      </c>
      <c r="P11" s="7" t="s">
        <v>51</v>
      </c>
      <c r="Q11" s="7" t="s">
        <v>51</v>
      </c>
      <c r="R11" s="10" t="s">
        <v>112</v>
      </c>
      <c r="S11" s="7" t="s">
        <v>113</v>
      </c>
      <c r="T11" s="11">
        <v>25.3</v>
      </c>
      <c r="U11" s="12">
        <v>0</v>
      </c>
      <c r="V11" s="7" t="s">
        <v>114</v>
      </c>
      <c r="W11" s="12">
        <v>0</v>
      </c>
      <c r="X11" s="5" t="s">
        <v>115</v>
      </c>
      <c r="Y11" s="12">
        <v>448.54</v>
      </c>
      <c r="Z11" s="12">
        <v>229.62</v>
      </c>
      <c r="AA11" s="12">
        <v>218.92</v>
      </c>
      <c r="AB11" s="12">
        <v>0</v>
      </c>
      <c r="AC11" s="12">
        <v>0</v>
      </c>
      <c r="AD11" s="13"/>
      <c r="AE11" s="5"/>
      <c r="AF11" s="5"/>
      <c r="AG11" s="5">
        <v>0</v>
      </c>
      <c r="AH11" s="5">
        <v>0</v>
      </c>
      <c r="AI11" s="7"/>
      <c r="AJ11" s="5"/>
      <c r="AK11" s="5"/>
      <c r="AL11" s="7">
        <v>46067.954351851855</v>
      </c>
      <c r="AM11" s="7" t="s">
        <v>85</v>
      </c>
      <c r="AN11" s="7" t="s">
        <v>116</v>
      </c>
      <c r="AO11" s="7" t="s">
        <v>58</v>
      </c>
    </row>
    <row r="12" spans="1:41" x14ac:dyDescent="0.25">
      <c r="A12" s="5" t="s">
        <v>42</v>
      </c>
      <c r="B12" s="6" t="s">
        <v>43</v>
      </c>
      <c r="C12" s="5">
        <v>4</v>
      </c>
      <c r="D12" s="5" t="s">
        <v>44</v>
      </c>
      <c r="E12" s="7" t="s">
        <v>93</v>
      </c>
      <c r="F12" s="5">
        <v>17189</v>
      </c>
      <c r="G12" s="8">
        <v>46066</v>
      </c>
      <c r="H12" s="8">
        <v>46066</v>
      </c>
      <c r="I12" s="8">
        <v>46067</v>
      </c>
      <c r="J12" s="8">
        <v>46067</v>
      </c>
      <c r="K12" s="9" t="s">
        <v>108</v>
      </c>
      <c r="L12" s="7" t="s">
        <v>109</v>
      </c>
      <c r="M12" s="5" t="s">
        <v>110</v>
      </c>
      <c r="N12" s="5" t="s">
        <v>49</v>
      </c>
      <c r="O12" s="5" t="s">
        <v>117</v>
      </c>
      <c r="P12" s="7" t="s">
        <v>51</v>
      </c>
      <c r="Q12" s="7" t="s">
        <v>51</v>
      </c>
      <c r="R12" s="10" t="s">
        <v>118</v>
      </c>
      <c r="S12" s="7" t="s">
        <v>119</v>
      </c>
      <c r="T12" s="11">
        <v>37</v>
      </c>
      <c r="U12" s="12">
        <v>0</v>
      </c>
      <c r="V12" s="7" t="s">
        <v>118</v>
      </c>
      <c r="W12" s="12">
        <v>0</v>
      </c>
      <c r="X12" s="5" t="s">
        <v>120</v>
      </c>
      <c r="Y12" s="12">
        <v>959.58</v>
      </c>
      <c r="Z12" s="12">
        <v>334.48</v>
      </c>
      <c r="AA12" s="12">
        <v>319.07</v>
      </c>
      <c r="AB12" s="12">
        <v>306.02999999999997</v>
      </c>
      <c r="AC12" s="12">
        <v>0</v>
      </c>
      <c r="AD12" s="13"/>
      <c r="AE12" s="5"/>
      <c r="AF12" s="5"/>
      <c r="AG12" s="5">
        <v>0</v>
      </c>
      <c r="AH12" s="5">
        <v>0</v>
      </c>
      <c r="AI12" s="7"/>
      <c r="AJ12" s="5"/>
      <c r="AK12" s="5"/>
      <c r="AL12" s="7">
        <v>46071.986597222225</v>
      </c>
      <c r="AM12" s="7" t="s">
        <v>56</v>
      </c>
      <c r="AN12" s="7" t="s">
        <v>58</v>
      </c>
      <c r="AO12" s="7" t="s">
        <v>58</v>
      </c>
    </row>
    <row r="13" spans="1:41" x14ac:dyDescent="0.25">
      <c r="A13" s="5" t="s">
        <v>42</v>
      </c>
      <c r="B13" s="6" t="s">
        <v>43</v>
      </c>
      <c r="C13" s="5">
        <v>4</v>
      </c>
      <c r="D13" s="5" t="s">
        <v>44</v>
      </c>
      <c r="E13" s="7" t="s">
        <v>93</v>
      </c>
      <c r="F13" s="5">
        <v>17196</v>
      </c>
      <c r="G13" s="8">
        <v>46066</v>
      </c>
      <c r="H13" s="8">
        <v>46066</v>
      </c>
      <c r="I13" s="8">
        <v>46067</v>
      </c>
      <c r="J13" s="8">
        <v>46067</v>
      </c>
      <c r="K13" s="9" t="s">
        <v>108</v>
      </c>
      <c r="L13" s="7" t="s">
        <v>109</v>
      </c>
      <c r="M13" s="5" t="s">
        <v>110</v>
      </c>
      <c r="N13" s="5" t="s">
        <v>49</v>
      </c>
      <c r="O13" s="5" t="s">
        <v>111</v>
      </c>
      <c r="P13" s="7" t="s">
        <v>51</v>
      </c>
      <c r="Q13" s="7" t="s">
        <v>51</v>
      </c>
      <c r="R13" s="10" t="s">
        <v>121</v>
      </c>
      <c r="S13" s="7" t="s">
        <v>122</v>
      </c>
      <c r="T13" s="11">
        <v>25.3</v>
      </c>
      <c r="U13" s="12">
        <v>0</v>
      </c>
      <c r="V13" s="7" t="s">
        <v>123</v>
      </c>
      <c r="W13" s="12">
        <v>0</v>
      </c>
      <c r="X13" s="5" t="s">
        <v>124</v>
      </c>
      <c r="Y13" s="12">
        <v>448.54</v>
      </c>
      <c r="Z13" s="12">
        <v>229.62</v>
      </c>
      <c r="AA13" s="12">
        <v>218.92</v>
      </c>
      <c r="AB13" s="12">
        <v>0</v>
      </c>
      <c r="AC13" s="12">
        <v>0</v>
      </c>
      <c r="AD13" s="13"/>
      <c r="AE13" s="5"/>
      <c r="AF13" s="5"/>
      <c r="AG13" s="5">
        <v>0</v>
      </c>
      <c r="AH13" s="5">
        <v>0</v>
      </c>
      <c r="AI13" s="7"/>
      <c r="AJ13" s="5"/>
      <c r="AK13" s="5"/>
      <c r="AL13" s="7">
        <v>46067.95480324074</v>
      </c>
      <c r="AM13" s="7" t="s">
        <v>85</v>
      </c>
      <c r="AN13" s="7" t="s">
        <v>125</v>
      </c>
      <c r="AO13" s="7" t="s">
        <v>58</v>
      </c>
    </row>
    <row r="14" spans="1:41" x14ac:dyDescent="0.25">
      <c r="A14" s="5" t="s">
        <v>42</v>
      </c>
      <c r="B14" s="6" t="s">
        <v>43</v>
      </c>
      <c r="C14" s="5">
        <v>4</v>
      </c>
      <c r="D14" s="5" t="s">
        <v>44</v>
      </c>
      <c r="E14" s="7" t="s">
        <v>93</v>
      </c>
      <c r="F14" s="5">
        <v>17197</v>
      </c>
      <c r="G14" s="8">
        <v>46066</v>
      </c>
      <c r="H14" s="8">
        <v>46066</v>
      </c>
      <c r="I14" s="8">
        <v>46067</v>
      </c>
      <c r="J14" s="8">
        <v>46067</v>
      </c>
      <c r="K14" s="9" t="s">
        <v>108</v>
      </c>
      <c r="L14" s="7" t="s">
        <v>109</v>
      </c>
      <c r="M14" s="5" t="s">
        <v>110</v>
      </c>
      <c r="N14" s="5" t="s">
        <v>49</v>
      </c>
      <c r="O14" s="5" t="s">
        <v>117</v>
      </c>
      <c r="P14" s="7" t="s">
        <v>51</v>
      </c>
      <c r="Q14" s="7" t="s">
        <v>51</v>
      </c>
      <c r="R14" s="10" t="s">
        <v>126</v>
      </c>
      <c r="S14" s="7" t="s">
        <v>127</v>
      </c>
      <c r="T14" s="11">
        <v>37</v>
      </c>
      <c r="U14" s="12">
        <v>0</v>
      </c>
      <c r="V14" s="7" t="s">
        <v>126</v>
      </c>
      <c r="W14" s="12">
        <v>0</v>
      </c>
      <c r="X14" s="5" t="s">
        <v>128</v>
      </c>
      <c r="Y14" s="12">
        <v>959.58</v>
      </c>
      <c r="Z14" s="12">
        <v>334.48</v>
      </c>
      <c r="AA14" s="12">
        <v>319.07</v>
      </c>
      <c r="AB14" s="12">
        <v>306.02999999999997</v>
      </c>
      <c r="AC14" s="12">
        <v>0</v>
      </c>
      <c r="AD14" s="13"/>
      <c r="AE14" s="5"/>
      <c r="AF14" s="5"/>
      <c r="AG14" s="5">
        <v>0</v>
      </c>
      <c r="AH14" s="5">
        <v>0</v>
      </c>
      <c r="AI14" s="7"/>
      <c r="AJ14" s="5"/>
      <c r="AK14" s="5"/>
      <c r="AL14" s="7">
        <v>46072.583252314813</v>
      </c>
      <c r="AM14" s="7" t="s">
        <v>85</v>
      </c>
      <c r="AN14" s="7" t="s">
        <v>58</v>
      </c>
      <c r="AO14" s="7" t="s">
        <v>58</v>
      </c>
    </row>
    <row r="15" spans="1:41" x14ac:dyDescent="0.25">
      <c r="A15" s="5" t="s">
        <v>42</v>
      </c>
      <c r="B15" s="6" t="s">
        <v>43</v>
      </c>
      <c r="C15" s="5">
        <v>4</v>
      </c>
      <c r="D15" s="5" t="s">
        <v>44</v>
      </c>
      <c r="E15" s="7" t="s">
        <v>129</v>
      </c>
      <c r="F15" s="5">
        <v>17325</v>
      </c>
      <c r="G15" s="8">
        <v>46067</v>
      </c>
      <c r="H15" s="8">
        <v>46067</v>
      </c>
      <c r="I15" s="8">
        <v>46067</v>
      </c>
      <c r="J15" s="8">
        <v>46067</v>
      </c>
      <c r="K15" s="9" t="s">
        <v>75</v>
      </c>
      <c r="L15" s="7" t="s">
        <v>76</v>
      </c>
      <c r="M15" s="5" t="s">
        <v>77</v>
      </c>
      <c r="N15" s="5" t="s">
        <v>49</v>
      </c>
      <c r="O15" s="5" t="s">
        <v>78</v>
      </c>
      <c r="P15" s="7" t="s">
        <v>51</v>
      </c>
      <c r="Q15" s="7" t="s">
        <v>51</v>
      </c>
      <c r="R15" s="10" t="s">
        <v>130</v>
      </c>
      <c r="S15" s="7" t="s">
        <v>131</v>
      </c>
      <c r="T15" s="11">
        <v>14.5</v>
      </c>
      <c r="U15" s="12">
        <v>0</v>
      </c>
      <c r="V15" s="7" t="s">
        <v>130</v>
      </c>
      <c r="W15" s="12">
        <v>0</v>
      </c>
      <c r="X15" s="5" t="s">
        <v>132</v>
      </c>
      <c r="Y15" s="12">
        <v>431.1</v>
      </c>
      <c r="Z15" s="12">
        <v>131.08000000000001</v>
      </c>
      <c r="AA15" s="12">
        <v>125.02</v>
      </c>
      <c r="AB15" s="12">
        <v>175</v>
      </c>
      <c r="AC15" s="12">
        <v>0</v>
      </c>
      <c r="AD15" s="13">
        <v>53</v>
      </c>
      <c r="AE15" s="5"/>
      <c r="AF15" s="5"/>
      <c r="AG15" s="5">
        <v>1</v>
      </c>
      <c r="AH15" s="5">
        <v>1</v>
      </c>
      <c r="AI15" s="7">
        <v>46072.445138888892</v>
      </c>
      <c r="AJ15" s="5" t="s">
        <v>83</v>
      </c>
      <c r="AK15" s="5" t="s">
        <v>84</v>
      </c>
      <c r="AL15" s="7">
        <v>46067.956261574072</v>
      </c>
      <c r="AM15" s="7" t="s">
        <v>85</v>
      </c>
      <c r="AN15" s="7" t="s">
        <v>133</v>
      </c>
      <c r="AO15" s="7" t="s">
        <v>58</v>
      </c>
    </row>
    <row r="16" spans="1:41" x14ac:dyDescent="0.25">
      <c r="A16" s="5" t="s">
        <v>42</v>
      </c>
      <c r="B16" s="6" t="s">
        <v>43</v>
      </c>
      <c r="C16" s="5">
        <v>4</v>
      </c>
      <c r="D16" s="5" t="s">
        <v>44</v>
      </c>
      <c r="E16" s="7" t="s">
        <v>129</v>
      </c>
      <c r="F16" s="5">
        <v>17326</v>
      </c>
      <c r="G16" s="8">
        <v>46067</v>
      </c>
      <c r="H16" s="8">
        <v>46067</v>
      </c>
      <c r="I16" s="8">
        <v>46067</v>
      </c>
      <c r="J16" s="8">
        <v>46067</v>
      </c>
      <c r="K16" s="9" t="s">
        <v>75</v>
      </c>
      <c r="L16" s="7" t="s">
        <v>76</v>
      </c>
      <c r="M16" s="5" t="s">
        <v>77</v>
      </c>
      <c r="N16" s="5" t="s">
        <v>49</v>
      </c>
      <c r="O16" s="5" t="s">
        <v>87</v>
      </c>
      <c r="P16" s="7" t="s">
        <v>51</v>
      </c>
      <c r="Q16" s="7" t="s">
        <v>51</v>
      </c>
      <c r="R16" s="10" t="s">
        <v>134</v>
      </c>
      <c r="S16" s="7" t="s">
        <v>135</v>
      </c>
      <c r="T16" s="11">
        <v>12.8</v>
      </c>
      <c r="U16" s="12">
        <v>0</v>
      </c>
      <c r="V16" s="7" t="s">
        <v>134</v>
      </c>
      <c r="W16" s="12">
        <v>0</v>
      </c>
      <c r="X16" s="5" t="s">
        <v>136</v>
      </c>
      <c r="Y16" s="12">
        <v>429.54</v>
      </c>
      <c r="Z16" s="12">
        <v>115.71</v>
      </c>
      <c r="AA16" s="12">
        <v>110.38</v>
      </c>
      <c r="AB16" s="12">
        <v>203.45</v>
      </c>
      <c r="AC16" s="12">
        <v>0</v>
      </c>
      <c r="AD16" s="13">
        <v>83</v>
      </c>
      <c r="AE16" s="5"/>
      <c r="AF16" s="5"/>
      <c r="AG16" s="5">
        <v>1</v>
      </c>
      <c r="AH16" s="5">
        <v>1</v>
      </c>
      <c r="AI16" s="7">
        <v>46072.446527777778</v>
      </c>
      <c r="AJ16" s="5" t="s">
        <v>83</v>
      </c>
      <c r="AK16" s="5" t="s">
        <v>84</v>
      </c>
      <c r="AL16" s="7">
        <v>46069.761747685188</v>
      </c>
      <c r="AM16" s="7" t="s">
        <v>92</v>
      </c>
      <c r="AN16" s="7" t="s">
        <v>133</v>
      </c>
      <c r="AO16" s="7" t="s">
        <v>58</v>
      </c>
    </row>
    <row r="17" spans="1:41" x14ac:dyDescent="0.25">
      <c r="A17" s="5" t="s">
        <v>42</v>
      </c>
      <c r="B17" s="6" t="s">
        <v>43</v>
      </c>
      <c r="C17" s="5">
        <v>4</v>
      </c>
      <c r="D17" s="5" t="s">
        <v>44</v>
      </c>
      <c r="E17" s="7" t="s">
        <v>45</v>
      </c>
      <c r="F17" s="5">
        <v>17458</v>
      </c>
      <c r="G17" s="8">
        <v>46067</v>
      </c>
      <c r="H17" s="8">
        <v>46067</v>
      </c>
      <c r="I17" s="8">
        <v>46067</v>
      </c>
      <c r="J17" s="8">
        <v>46067</v>
      </c>
      <c r="K17" s="9" t="s">
        <v>46</v>
      </c>
      <c r="L17" s="7" t="s">
        <v>47</v>
      </c>
      <c r="M17" s="5" t="s">
        <v>48</v>
      </c>
      <c r="N17" s="5" t="s">
        <v>49</v>
      </c>
      <c r="O17" s="5" t="s">
        <v>50</v>
      </c>
      <c r="P17" s="7" t="s">
        <v>51</v>
      </c>
      <c r="Q17" s="7" t="s">
        <v>51</v>
      </c>
      <c r="R17" s="10" t="s">
        <v>137</v>
      </c>
      <c r="S17" s="7" t="s">
        <v>138</v>
      </c>
      <c r="T17" s="11">
        <v>11.4</v>
      </c>
      <c r="U17" s="12">
        <v>0</v>
      </c>
      <c r="V17" s="7" t="s">
        <v>54</v>
      </c>
      <c r="W17" s="12">
        <v>0</v>
      </c>
      <c r="X17" s="5" t="s">
        <v>139</v>
      </c>
      <c r="Y17" s="12">
        <v>281.22000000000003</v>
      </c>
      <c r="Z17" s="12">
        <v>0.13</v>
      </c>
      <c r="AA17" s="12">
        <v>106.09</v>
      </c>
      <c r="AB17" s="12">
        <v>175</v>
      </c>
      <c r="AC17" s="12">
        <v>0</v>
      </c>
      <c r="AD17" s="13"/>
      <c r="AE17" s="5"/>
      <c r="AF17" s="5"/>
      <c r="AG17" s="5">
        <v>1</v>
      </c>
      <c r="AH17" s="5">
        <v>1</v>
      </c>
      <c r="AI17" s="7">
        <v>46077.777777777781</v>
      </c>
      <c r="AJ17" s="5" t="s">
        <v>140</v>
      </c>
      <c r="AK17" s="5" t="s">
        <v>141</v>
      </c>
      <c r="AL17" s="7">
        <v>46069.703784722224</v>
      </c>
      <c r="AM17" s="7" t="s">
        <v>92</v>
      </c>
      <c r="AN17" s="7" t="s">
        <v>142</v>
      </c>
      <c r="AO17" s="7" t="s">
        <v>58</v>
      </c>
    </row>
    <row r="18" spans="1:41" x14ac:dyDescent="0.25">
      <c r="A18" s="5" t="s">
        <v>42</v>
      </c>
      <c r="B18" s="6" t="s">
        <v>43</v>
      </c>
      <c r="C18" s="5">
        <v>4</v>
      </c>
      <c r="D18" s="5" t="s">
        <v>44</v>
      </c>
      <c r="E18" s="7" t="s">
        <v>45</v>
      </c>
      <c r="F18" s="5">
        <v>17460</v>
      </c>
      <c r="G18" s="8">
        <v>46067</v>
      </c>
      <c r="H18" s="8">
        <v>46067</v>
      </c>
      <c r="I18" s="8">
        <v>46067</v>
      </c>
      <c r="J18" s="8">
        <v>46067</v>
      </c>
      <c r="K18" s="9" t="s">
        <v>46</v>
      </c>
      <c r="L18" s="7" t="s">
        <v>47</v>
      </c>
      <c r="M18" s="5" t="s">
        <v>48</v>
      </c>
      <c r="N18" s="5" t="s">
        <v>49</v>
      </c>
      <c r="O18" s="5" t="s">
        <v>59</v>
      </c>
      <c r="P18" s="7" t="s">
        <v>51</v>
      </c>
      <c r="Q18" s="7" t="s">
        <v>51</v>
      </c>
      <c r="R18" s="10" t="s">
        <v>143</v>
      </c>
      <c r="S18" s="7" t="s">
        <v>144</v>
      </c>
      <c r="T18" s="11">
        <v>13.1</v>
      </c>
      <c r="U18" s="12">
        <v>0</v>
      </c>
      <c r="V18" s="7" t="s">
        <v>145</v>
      </c>
      <c r="W18" s="12">
        <v>0</v>
      </c>
      <c r="X18" s="5" t="s">
        <v>146</v>
      </c>
      <c r="Y18" s="12">
        <v>295.95999999999998</v>
      </c>
      <c r="Z18" s="12">
        <v>0.11</v>
      </c>
      <c r="AA18" s="12">
        <v>92.4</v>
      </c>
      <c r="AB18" s="12">
        <v>203.45</v>
      </c>
      <c r="AC18" s="12">
        <v>0</v>
      </c>
      <c r="AD18" s="13"/>
      <c r="AE18" s="5"/>
      <c r="AF18" s="5"/>
      <c r="AG18" s="5">
        <v>1</v>
      </c>
      <c r="AH18" s="5">
        <v>1</v>
      </c>
      <c r="AI18" s="7">
        <v>46077.77847222222</v>
      </c>
      <c r="AJ18" s="5" t="s">
        <v>140</v>
      </c>
      <c r="AK18" s="5" t="s">
        <v>147</v>
      </c>
      <c r="AL18" s="7">
        <v>46069.898958333331</v>
      </c>
      <c r="AM18" s="7" t="s">
        <v>56</v>
      </c>
      <c r="AN18" s="7" t="s">
        <v>148</v>
      </c>
      <c r="AO18" s="7" t="s">
        <v>58</v>
      </c>
    </row>
    <row r="19" spans="1:41" x14ac:dyDescent="0.25">
      <c r="A19" s="5" t="s">
        <v>42</v>
      </c>
      <c r="B19" s="6" t="s">
        <v>43</v>
      </c>
      <c r="C19" s="5">
        <v>4</v>
      </c>
      <c r="D19" s="5" t="s">
        <v>44</v>
      </c>
      <c r="E19" s="7" t="s">
        <v>45</v>
      </c>
      <c r="F19" s="5">
        <v>17463</v>
      </c>
      <c r="G19" s="8">
        <v>46067</v>
      </c>
      <c r="H19" s="8">
        <v>46067</v>
      </c>
      <c r="I19" s="8">
        <v>46067</v>
      </c>
      <c r="J19" s="8">
        <v>46067</v>
      </c>
      <c r="K19" s="9" t="s">
        <v>46</v>
      </c>
      <c r="L19" s="7" t="s">
        <v>47</v>
      </c>
      <c r="M19" s="5" t="s">
        <v>48</v>
      </c>
      <c r="N19" s="5" t="s">
        <v>49</v>
      </c>
      <c r="O19" s="5" t="s">
        <v>50</v>
      </c>
      <c r="P19" s="7" t="s">
        <v>51</v>
      </c>
      <c r="Q19" s="7" t="s">
        <v>51</v>
      </c>
      <c r="R19" s="10" t="s">
        <v>149</v>
      </c>
      <c r="S19" s="7" t="s">
        <v>150</v>
      </c>
      <c r="T19" s="11">
        <v>11.4</v>
      </c>
      <c r="U19" s="12">
        <v>0</v>
      </c>
      <c r="V19" s="7" t="s">
        <v>54</v>
      </c>
      <c r="W19" s="12">
        <v>0</v>
      </c>
      <c r="X19" s="5" t="s">
        <v>151</v>
      </c>
      <c r="Y19" s="12">
        <v>281.22000000000003</v>
      </c>
      <c r="Z19" s="12">
        <v>0.13</v>
      </c>
      <c r="AA19" s="12">
        <v>106.09</v>
      </c>
      <c r="AB19" s="12">
        <v>175</v>
      </c>
      <c r="AC19" s="12">
        <v>0</v>
      </c>
      <c r="AD19" s="13"/>
      <c r="AE19" s="5"/>
      <c r="AF19" s="5"/>
      <c r="AG19" s="5">
        <v>1</v>
      </c>
      <c r="AH19" s="5">
        <v>1</v>
      </c>
      <c r="AI19" s="7">
        <v>46077.779166666667</v>
      </c>
      <c r="AJ19" s="5" t="s">
        <v>140</v>
      </c>
      <c r="AK19" s="5" t="s">
        <v>152</v>
      </c>
      <c r="AL19" s="7">
        <v>46069.705439814818</v>
      </c>
      <c r="AM19" s="7" t="s">
        <v>92</v>
      </c>
      <c r="AN19" s="7" t="s">
        <v>153</v>
      </c>
      <c r="AO19" s="7" t="s">
        <v>58</v>
      </c>
    </row>
    <row r="20" spans="1:41" x14ac:dyDescent="0.25">
      <c r="A20" s="5" t="s">
        <v>42</v>
      </c>
      <c r="B20" s="6" t="s">
        <v>43</v>
      </c>
      <c r="C20" s="5">
        <v>4</v>
      </c>
      <c r="D20" s="5" t="s">
        <v>44</v>
      </c>
      <c r="E20" s="7" t="s">
        <v>45</v>
      </c>
      <c r="F20" s="5">
        <v>17466</v>
      </c>
      <c r="G20" s="8">
        <v>46067</v>
      </c>
      <c r="H20" s="8">
        <v>46067</v>
      </c>
      <c r="I20" s="8">
        <v>46067</v>
      </c>
      <c r="J20" s="8">
        <v>46067</v>
      </c>
      <c r="K20" s="9" t="s">
        <v>46</v>
      </c>
      <c r="L20" s="7" t="s">
        <v>47</v>
      </c>
      <c r="M20" s="5" t="s">
        <v>48</v>
      </c>
      <c r="N20" s="5" t="s">
        <v>49</v>
      </c>
      <c r="O20" s="5" t="s">
        <v>59</v>
      </c>
      <c r="P20" s="7" t="s">
        <v>51</v>
      </c>
      <c r="Q20" s="7" t="s">
        <v>51</v>
      </c>
      <c r="R20" s="10" t="s">
        <v>154</v>
      </c>
      <c r="S20" s="7" t="s">
        <v>155</v>
      </c>
      <c r="T20" s="11">
        <v>13.1</v>
      </c>
      <c r="U20" s="12">
        <v>0</v>
      </c>
      <c r="V20" s="7" t="s">
        <v>156</v>
      </c>
      <c r="W20" s="12">
        <v>0</v>
      </c>
      <c r="X20" s="5" t="s">
        <v>157</v>
      </c>
      <c r="Y20" s="12">
        <v>295.95999999999998</v>
      </c>
      <c r="Z20" s="12">
        <v>0.11</v>
      </c>
      <c r="AA20" s="12">
        <v>92.4</v>
      </c>
      <c r="AB20" s="12">
        <v>203.45</v>
      </c>
      <c r="AC20" s="12">
        <v>0</v>
      </c>
      <c r="AD20" s="13"/>
      <c r="AE20" s="5"/>
      <c r="AF20" s="5"/>
      <c r="AG20" s="5">
        <v>1</v>
      </c>
      <c r="AH20" s="5">
        <v>1</v>
      </c>
      <c r="AI20" s="7">
        <v>46077.779166666667</v>
      </c>
      <c r="AJ20" s="5" t="s">
        <v>140</v>
      </c>
      <c r="AK20" s="5" t="s">
        <v>147</v>
      </c>
      <c r="AL20" s="7">
        <v>46069.899062500001</v>
      </c>
      <c r="AM20" s="7" t="s">
        <v>56</v>
      </c>
      <c r="AN20" s="7" t="s">
        <v>158</v>
      </c>
      <c r="AO20" s="7" t="s">
        <v>58</v>
      </c>
    </row>
    <row r="21" spans="1:41" x14ac:dyDescent="0.25">
      <c r="A21" s="5" t="s">
        <v>42</v>
      </c>
      <c r="B21" s="6" t="s">
        <v>43</v>
      </c>
      <c r="C21" s="5">
        <v>4</v>
      </c>
      <c r="D21" s="5" t="s">
        <v>44</v>
      </c>
      <c r="E21" s="7" t="s">
        <v>129</v>
      </c>
      <c r="F21" s="5">
        <v>17509</v>
      </c>
      <c r="G21" s="8">
        <v>46067</v>
      </c>
      <c r="H21" s="8">
        <v>46067</v>
      </c>
      <c r="I21" s="8">
        <v>46067</v>
      </c>
      <c r="J21" s="8">
        <v>46067</v>
      </c>
      <c r="K21" s="9" t="s">
        <v>94</v>
      </c>
      <c r="L21" s="7" t="s">
        <v>95</v>
      </c>
      <c r="M21" s="5" t="s">
        <v>96</v>
      </c>
      <c r="N21" s="5" t="s">
        <v>49</v>
      </c>
      <c r="O21" s="5" t="s">
        <v>78</v>
      </c>
      <c r="P21" s="7" t="s">
        <v>51</v>
      </c>
      <c r="Q21" s="7" t="s">
        <v>51</v>
      </c>
      <c r="R21" s="10" t="s">
        <v>159</v>
      </c>
      <c r="S21" s="7" t="s">
        <v>160</v>
      </c>
      <c r="T21" s="11">
        <v>14.5</v>
      </c>
      <c r="U21" s="12">
        <v>0</v>
      </c>
      <c r="V21" s="7" t="s">
        <v>161</v>
      </c>
      <c r="W21" s="12">
        <v>0</v>
      </c>
      <c r="X21" s="5" t="s">
        <v>162</v>
      </c>
      <c r="Y21" s="12">
        <v>431.1</v>
      </c>
      <c r="Z21" s="12">
        <v>131.08000000000001</v>
      </c>
      <c r="AA21" s="12">
        <v>125.02</v>
      </c>
      <c r="AB21" s="12">
        <v>175</v>
      </c>
      <c r="AC21" s="12">
        <v>0</v>
      </c>
      <c r="AD21" s="13">
        <v>55</v>
      </c>
      <c r="AE21" s="5"/>
      <c r="AF21" s="5"/>
      <c r="AG21" s="5">
        <v>1</v>
      </c>
      <c r="AH21" s="5">
        <v>1</v>
      </c>
      <c r="AI21" s="7">
        <v>46072.494444444441</v>
      </c>
      <c r="AJ21" s="5" t="s">
        <v>83</v>
      </c>
      <c r="AK21" s="5" t="s">
        <v>101</v>
      </c>
      <c r="AL21" s="7">
        <v>46067.956550925926</v>
      </c>
      <c r="AM21" s="7" t="s">
        <v>85</v>
      </c>
      <c r="AN21" s="7" t="s">
        <v>163</v>
      </c>
      <c r="AO21" s="7" t="s">
        <v>58</v>
      </c>
    </row>
    <row r="22" spans="1:41" x14ac:dyDescent="0.25">
      <c r="A22" s="5" t="s">
        <v>42</v>
      </c>
      <c r="B22" s="6" t="s">
        <v>43</v>
      </c>
      <c r="C22" s="5">
        <v>4</v>
      </c>
      <c r="D22" s="5" t="s">
        <v>44</v>
      </c>
      <c r="E22" s="7" t="s">
        <v>129</v>
      </c>
      <c r="F22" s="5">
        <v>17510</v>
      </c>
      <c r="G22" s="8">
        <v>46067</v>
      </c>
      <c r="H22" s="8">
        <v>46067</v>
      </c>
      <c r="I22" s="8">
        <v>46067</v>
      </c>
      <c r="J22" s="8">
        <v>46067</v>
      </c>
      <c r="K22" s="9" t="s">
        <v>94</v>
      </c>
      <c r="L22" s="7" t="s">
        <v>95</v>
      </c>
      <c r="M22" s="5" t="s">
        <v>96</v>
      </c>
      <c r="N22" s="5" t="s">
        <v>49</v>
      </c>
      <c r="O22" s="5" t="s">
        <v>87</v>
      </c>
      <c r="P22" s="7" t="s">
        <v>51</v>
      </c>
      <c r="Q22" s="7" t="s">
        <v>51</v>
      </c>
      <c r="R22" s="10" t="s">
        <v>164</v>
      </c>
      <c r="S22" s="7" t="s">
        <v>165</v>
      </c>
      <c r="T22" s="11">
        <v>12.8</v>
      </c>
      <c r="U22" s="12">
        <v>0</v>
      </c>
      <c r="V22" s="7" t="s">
        <v>166</v>
      </c>
      <c r="W22" s="12">
        <v>0</v>
      </c>
      <c r="X22" s="5" t="s">
        <v>167</v>
      </c>
      <c r="Y22" s="12">
        <v>429.54</v>
      </c>
      <c r="Z22" s="12">
        <v>115.71</v>
      </c>
      <c r="AA22" s="12">
        <v>110.38</v>
      </c>
      <c r="AB22" s="12">
        <v>203.45</v>
      </c>
      <c r="AC22" s="12">
        <v>0</v>
      </c>
      <c r="AD22" s="13">
        <v>60</v>
      </c>
      <c r="AE22" s="5"/>
      <c r="AF22" s="5"/>
      <c r="AG22" s="5">
        <v>1</v>
      </c>
      <c r="AH22" s="5">
        <v>1</v>
      </c>
      <c r="AI22" s="7">
        <v>46072.494444444441</v>
      </c>
      <c r="AJ22" s="5" t="s">
        <v>83</v>
      </c>
      <c r="AK22" s="5" t="s">
        <v>101</v>
      </c>
      <c r="AL22" s="7">
        <v>46069.771041666667</v>
      </c>
      <c r="AM22" s="7" t="s">
        <v>92</v>
      </c>
      <c r="AN22" s="7" t="s">
        <v>163</v>
      </c>
      <c r="AO22" s="7" t="s">
        <v>58</v>
      </c>
    </row>
    <row r="23" spans="1:41" x14ac:dyDescent="0.25">
      <c r="A23" s="5" t="s">
        <v>42</v>
      </c>
      <c r="B23" s="6" t="s">
        <v>43</v>
      </c>
      <c r="C23" s="5">
        <v>4</v>
      </c>
      <c r="D23" s="5" t="s">
        <v>44</v>
      </c>
      <c r="E23" s="7" t="s">
        <v>45</v>
      </c>
      <c r="F23" s="5">
        <v>18921</v>
      </c>
      <c r="G23" s="8">
        <v>46068</v>
      </c>
      <c r="H23" s="8">
        <v>46068</v>
      </c>
      <c r="I23" s="8">
        <v>46068</v>
      </c>
      <c r="J23" s="8">
        <v>46068</v>
      </c>
      <c r="K23" s="9" t="s">
        <v>46</v>
      </c>
      <c r="L23" s="7" t="s">
        <v>47</v>
      </c>
      <c r="M23" s="5" t="s">
        <v>48</v>
      </c>
      <c r="N23" s="5" t="s">
        <v>49</v>
      </c>
      <c r="O23" s="5" t="s">
        <v>50</v>
      </c>
      <c r="P23" s="7" t="s">
        <v>51</v>
      </c>
      <c r="Q23" s="7" t="s">
        <v>51</v>
      </c>
      <c r="R23" s="10" t="s">
        <v>168</v>
      </c>
      <c r="S23" s="7" t="s">
        <v>169</v>
      </c>
      <c r="T23" s="11">
        <v>11.4</v>
      </c>
      <c r="U23" s="12">
        <v>0</v>
      </c>
      <c r="V23" s="7" t="s">
        <v>54</v>
      </c>
      <c r="W23" s="12">
        <v>0</v>
      </c>
      <c r="X23" s="5" t="s">
        <v>170</v>
      </c>
      <c r="Y23" s="12">
        <v>281.23</v>
      </c>
      <c r="Z23" s="12">
        <v>0.13</v>
      </c>
      <c r="AA23" s="12">
        <v>106.1</v>
      </c>
      <c r="AB23" s="12">
        <v>175</v>
      </c>
      <c r="AC23" s="12">
        <v>0</v>
      </c>
      <c r="AD23" s="13"/>
      <c r="AE23" s="5"/>
      <c r="AF23" s="5"/>
      <c r="AG23" s="5">
        <v>1</v>
      </c>
      <c r="AH23" s="5">
        <v>1</v>
      </c>
      <c r="AI23" s="7">
        <v>46078.70416666667</v>
      </c>
      <c r="AJ23" s="5" t="s">
        <v>83</v>
      </c>
      <c r="AK23" s="5" t="s">
        <v>147</v>
      </c>
      <c r="AL23" s="7">
        <v>46071.538495370369</v>
      </c>
      <c r="AM23" s="7" t="s">
        <v>92</v>
      </c>
      <c r="AN23" s="7" t="s">
        <v>171</v>
      </c>
      <c r="AO23" s="7" t="s">
        <v>58</v>
      </c>
    </row>
    <row r="24" spans="1:41" x14ac:dyDescent="0.25">
      <c r="A24" s="5" t="s">
        <v>42</v>
      </c>
      <c r="B24" s="6" t="s">
        <v>43</v>
      </c>
      <c r="C24" s="5">
        <v>4</v>
      </c>
      <c r="D24" s="5" t="s">
        <v>44</v>
      </c>
      <c r="E24" s="7" t="s">
        <v>45</v>
      </c>
      <c r="F24" s="5">
        <v>18924</v>
      </c>
      <c r="G24" s="8">
        <v>46068</v>
      </c>
      <c r="H24" s="8">
        <v>46068</v>
      </c>
      <c r="I24" s="8">
        <v>46068</v>
      </c>
      <c r="J24" s="8">
        <v>46068</v>
      </c>
      <c r="K24" s="9" t="s">
        <v>46</v>
      </c>
      <c r="L24" s="7" t="s">
        <v>47</v>
      </c>
      <c r="M24" s="5" t="s">
        <v>48</v>
      </c>
      <c r="N24" s="5" t="s">
        <v>49</v>
      </c>
      <c r="O24" s="5" t="s">
        <v>59</v>
      </c>
      <c r="P24" s="7" t="s">
        <v>51</v>
      </c>
      <c r="Q24" s="7" t="s">
        <v>51</v>
      </c>
      <c r="R24" s="10" t="s">
        <v>172</v>
      </c>
      <c r="S24" s="7" t="s">
        <v>173</v>
      </c>
      <c r="T24" s="11">
        <v>13.1</v>
      </c>
      <c r="U24" s="12">
        <v>0</v>
      </c>
      <c r="V24" s="7" t="s">
        <v>174</v>
      </c>
      <c r="W24" s="12">
        <v>0</v>
      </c>
      <c r="X24" s="5" t="s">
        <v>175</v>
      </c>
      <c r="Y24" s="12">
        <v>295.95999999999998</v>
      </c>
      <c r="Z24" s="12">
        <v>0.11</v>
      </c>
      <c r="AA24" s="12">
        <v>92.4</v>
      </c>
      <c r="AB24" s="12">
        <v>203.45</v>
      </c>
      <c r="AC24" s="12">
        <v>0</v>
      </c>
      <c r="AD24" s="13"/>
      <c r="AE24" s="5"/>
      <c r="AF24" s="5"/>
      <c r="AG24" s="5">
        <v>1</v>
      </c>
      <c r="AH24" s="5">
        <v>1</v>
      </c>
      <c r="AI24" s="7">
        <v>46078.70416666667</v>
      </c>
      <c r="AJ24" s="5" t="s">
        <v>83</v>
      </c>
      <c r="AK24" s="5" t="s">
        <v>147</v>
      </c>
      <c r="AL24" s="7">
        <v>46071.929375</v>
      </c>
      <c r="AM24" s="7" t="s">
        <v>56</v>
      </c>
      <c r="AN24" s="7" t="s">
        <v>176</v>
      </c>
      <c r="AO24" s="7" t="s">
        <v>58</v>
      </c>
    </row>
    <row r="25" spans="1:41" x14ac:dyDescent="0.25">
      <c r="A25" s="5" t="s">
        <v>42</v>
      </c>
      <c r="B25" s="6" t="s">
        <v>43</v>
      </c>
      <c r="C25" s="5">
        <v>4</v>
      </c>
      <c r="D25" s="5" t="s">
        <v>44</v>
      </c>
      <c r="E25" s="7" t="s">
        <v>45</v>
      </c>
      <c r="F25" s="5">
        <v>18925</v>
      </c>
      <c r="G25" s="8">
        <v>46068</v>
      </c>
      <c r="H25" s="8">
        <v>46068</v>
      </c>
      <c r="I25" s="8">
        <v>46068</v>
      </c>
      <c r="J25" s="8">
        <v>46068</v>
      </c>
      <c r="K25" s="9" t="s">
        <v>46</v>
      </c>
      <c r="L25" s="7" t="s">
        <v>47</v>
      </c>
      <c r="M25" s="5" t="s">
        <v>48</v>
      </c>
      <c r="N25" s="5" t="s">
        <v>49</v>
      </c>
      <c r="O25" s="5" t="s">
        <v>50</v>
      </c>
      <c r="P25" s="7" t="s">
        <v>51</v>
      </c>
      <c r="Q25" s="7" t="s">
        <v>51</v>
      </c>
      <c r="R25" s="10" t="s">
        <v>177</v>
      </c>
      <c r="S25" s="7" t="s">
        <v>178</v>
      </c>
      <c r="T25" s="11">
        <v>11.4</v>
      </c>
      <c r="U25" s="12">
        <v>0</v>
      </c>
      <c r="V25" s="7" t="s">
        <v>54</v>
      </c>
      <c r="W25" s="12">
        <v>0</v>
      </c>
      <c r="X25" s="5" t="s">
        <v>179</v>
      </c>
      <c r="Y25" s="12">
        <v>281.23</v>
      </c>
      <c r="Z25" s="12">
        <v>0.13</v>
      </c>
      <c r="AA25" s="12">
        <v>106.1</v>
      </c>
      <c r="AB25" s="12">
        <v>175</v>
      </c>
      <c r="AC25" s="12">
        <v>0</v>
      </c>
      <c r="AD25" s="13"/>
      <c r="AE25" s="5"/>
      <c r="AF25" s="5"/>
      <c r="AG25" s="5">
        <v>1</v>
      </c>
      <c r="AH25" s="5">
        <v>1</v>
      </c>
      <c r="AI25" s="7">
        <v>46078.707638888889</v>
      </c>
      <c r="AJ25" s="5" t="s">
        <v>83</v>
      </c>
      <c r="AK25" s="5" t="s">
        <v>147</v>
      </c>
      <c r="AL25" s="7">
        <v>46071.538113425922</v>
      </c>
      <c r="AM25" s="7" t="s">
        <v>92</v>
      </c>
      <c r="AN25" s="7" t="s">
        <v>180</v>
      </c>
      <c r="AO25" s="7" t="s">
        <v>58</v>
      </c>
    </row>
    <row r="26" spans="1:41" x14ac:dyDescent="0.25">
      <c r="A26" s="5" t="s">
        <v>42</v>
      </c>
      <c r="B26" s="6" t="s">
        <v>43</v>
      </c>
      <c r="C26" s="5">
        <v>4</v>
      </c>
      <c r="D26" s="5" t="s">
        <v>44</v>
      </c>
      <c r="E26" s="7" t="s">
        <v>45</v>
      </c>
      <c r="F26" s="5">
        <v>18928</v>
      </c>
      <c r="G26" s="8">
        <v>46068</v>
      </c>
      <c r="H26" s="8">
        <v>46068</v>
      </c>
      <c r="I26" s="8">
        <v>46068</v>
      </c>
      <c r="J26" s="8">
        <v>46068</v>
      </c>
      <c r="K26" s="9" t="s">
        <v>46</v>
      </c>
      <c r="L26" s="7" t="s">
        <v>47</v>
      </c>
      <c r="M26" s="5" t="s">
        <v>48</v>
      </c>
      <c r="N26" s="5" t="s">
        <v>49</v>
      </c>
      <c r="O26" s="5" t="s">
        <v>59</v>
      </c>
      <c r="P26" s="7" t="s">
        <v>51</v>
      </c>
      <c r="Q26" s="7" t="s">
        <v>51</v>
      </c>
      <c r="R26" s="10" t="s">
        <v>181</v>
      </c>
      <c r="S26" s="7" t="s">
        <v>182</v>
      </c>
      <c r="T26" s="11">
        <v>13.1</v>
      </c>
      <c r="U26" s="12">
        <v>0</v>
      </c>
      <c r="V26" s="7" t="s">
        <v>183</v>
      </c>
      <c r="W26" s="12">
        <v>0</v>
      </c>
      <c r="X26" s="5" t="s">
        <v>184</v>
      </c>
      <c r="Y26" s="12">
        <v>295.95999999999998</v>
      </c>
      <c r="Z26" s="12">
        <v>0.11</v>
      </c>
      <c r="AA26" s="12">
        <v>92.4</v>
      </c>
      <c r="AB26" s="12">
        <v>203.45</v>
      </c>
      <c r="AC26" s="12">
        <v>0</v>
      </c>
      <c r="AD26" s="13"/>
      <c r="AE26" s="5"/>
      <c r="AF26" s="5"/>
      <c r="AG26" s="5">
        <v>1</v>
      </c>
      <c r="AH26" s="5">
        <v>1</v>
      </c>
      <c r="AI26" s="7">
        <v>46078.707638888889</v>
      </c>
      <c r="AJ26" s="5" t="s">
        <v>83</v>
      </c>
      <c r="AK26" s="5" t="s">
        <v>147</v>
      </c>
      <c r="AL26" s="7">
        <v>46071.928854166668</v>
      </c>
      <c r="AM26" s="7" t="s">
        <v>56</v>
      </c>
      <c r="AN26" s="7" t="s">
        <v>185</v>
      </c>
      <c r="AO26" s="7" t="s">
        <v>58</v>
      </c>
    </row>
    <row r="27" spans="1:41" x14ac:dyDescent="0.25">
      <c r="A27" s="5" t="s">
        <v>42</v>
      </c>
      <c r="B27" s="6" t="s">
        <v>43</v>
      </c>
      <c r="C27" s="5">
        <v>4</v>
      </c>
      <c r="D27" s="5" t="s">
        <v>44</v>
      </c>
      <c r="E27" s="7" t="s">
        <v>186</v>
      </c>
      <c r="F27" s="5">
        <v>17951</v>
      </c>
      <c r="G27" s="8">
        <v>46069</v>
      </c>
      <c r="H27" s="8">
        <v>46069</v>
      </c>
      <c r="I27" s="8">
        <v>46069</v>
      </c>
      <c r="J27" s="8">
        <v>46069</v>
      </c>
      <c r="K27" s="9" t="s">
        <v>187</v>
      </c>
      <c r="L27" s="7" t="s">
        <v>188</v>
      </c>
      <c r="M27" s="5" t="s">
        <v>189</v>
      </c>
      <c r="N27" s="5" t="s">
        <v>49</v>
      </c>
      <c r="O27" s="5" t="s">
        <v>190</v>
      </c>
      <c r="P27" s="7" t="s">
        <v>51</v>
      </c>
      <c r="Q27" s="7" t="s">
        <v>191</v>
      </c>
      <c r="R27" s="10" t="s">
        <v>192</v>
      </c>
      <c r="S27" s="7" t="s">
        <v>193</v>
      </c>
      <c r="T27" s="11">
        <v>36.200000000000003</v>
      </c>
      <c r="U27" s="12">
        <v>0</v>
      </c>
      <c r="V27" s="7" t="s">
        <v>194</v>
      </c>
      <c r="W27" s="12">
        <v>0</v>
      </c>
      <c r="X27" s="5" t="s">
        <v>195</v>
      </c>
      <c r="Y27" s="12">
        <v>897.69</v>
      </c>
      <c r="Z27" s="12">
        <v>327.25</v>
      </c>
      <c r="AA27" s="12">
        <v>319.58</v>
      </c>
      <c r="AB27" s="12">
        <v>250.86</v>
      </c>
      <c r="AC27" s="12">
        <v>0</v>
      </c>
      <c r="AD27" s="13">
        <v>22</v>
      </c>
      <c r="AE27" s="5"/>
      <c r="AF27" s="5"/>
      <c r="AG27" s="5">
        <v>1</v>
      </c>
      <c r="AH27" s="5">
        <v>1</v>
      </c>
      <c r="AI27" s="7">
        <v>46078.400000000001</v>
      </c>
      <c r="AJ27" s="5" t="s">
        <v>83</v>
      </c>
      <c r="AK27" s="5" t="s">
        <v>196</v>
      </c>
      <c r="AL27" s="7">
        <v>46069.693229166667</v>
      </c>
      <c r="AM27" s="7" t="s">
        <v>197</v>
      </c>
      <c r="AN27" s="7" t="s">
        <v>198</v>
      </c>
      <c r="AO27" s="7" t="s">
        <v>58</v>
      </c>
    </row>
    <row r="28" spans="1:41" x14ac:dyDescent="0.25">
      <c r="A28" s="5" t="s">
        <v>42</v>
      </c>
      <c r="B28" s="6" t="s">
        <v>43</v>
      </c>
      <c r="C28" s="5">
        <v>4</v>
      </c>
      <c r="D28" s="5" t="s">
        <v>44</v>
      </c>
      <c r="E28" s="7" t="s">
        <v>186</v>
      </c>
      <c r="F28" s="5">
        <v>17952</v>
      </c>
      <c r="G28" s="8">
        <v>46069</v>
      </c>
      <c r="H28" s="8">
        <v>46069</v>
      </c>
      <c r="I28" s="8">
        <v>46069</v>
      </c>
      <c r="J28" s="8">
        <v>46069</v>
      </c>
      <c r="K28" s="9" t="s">
        <v>187</v>
      </c>
      <c r="L28" s="7" t="s">
        <v>188</v>
      </c>
      <c r="M28" s="5" t="s">
        <v>189</v>
      </c>
      <c r="N28" s="5" t="s">
        <v>49</v>
      </c>
      <c r="O28" s="5" t="s">
        <v>199</v>
      </c>
      <c r="P28" s="7" t="s">
        <v>191</v>
      </c>
      <c r="Q28" s="7" t="s">
        <v>51</v>
      </c>
      <c r="R28" s="10" t="s">
        <v>200</v>
      </c>
      <c r="S28" s="7" t="s">
        <v>201</v>
      </c>
      <c r="T28" s="11">
        <v>34.299999999999997</v>
      </c>
      <c r="U28" s="12">
        <v>0</v>
      </c>
      <c r="V28" s="7" t="s">
        <v>200</v>
      </c>
      <c r="W28" s="12">
        <v>0</v>
      </c>
      <c r="X28" s="5" t="s">
        <v>202</v>
      </c>
      <c r="Y28" s="12">
        <v>945.55</v>
      </c>
      <c r="Z28" s="12">
        <v>310.07</v>
      </c>
      <c r="AA28" s="12">
        <v>302.72000000000003</v>
      </c>
      <c r="AB28" s="12">
        <v>332.76</v>
      </c>
      <c r="AC28" s="12">
        <v>0</v>
      </c>
      <c r="AD28" s="13">
        <v>9</v>
      </c>
      <c r="AE28" s="5"/>
      <c r="AF28" s="5"/>
      <c r="AG28" s="5">
        <v>1</v>
      </c>
      <c r="AH28" s="5">
        <v>1</v>
      </c>
      <c r="AI28" s="7">
        <v>46078.400000000001</v>
      </c>
      <c r="AJ28" s="5" t="s">
        <v>83</v>
      </c>
      <c r="AK28" s="5" t="s">
        <v>196</v>
      </c>
      <c r="AL28" s="7">
        <v>46070.689965277779</v>
      </c>
      <c r="AM28" s="7" t="s">
        <v>92</v>
      </c>
      <c r="AN28" s="7" t="s">
        <v>198</v>
      </c>
      <c r="AO28" s="7" t="s">
        <v>58</v>
      </c>
    </row>
    <row r="29" spans="1:41" x14ac:dyDescent="0.25">
      <c r="A29" s="5" t="s">
        <v>42</v>
      </c>
      <c r="B29" s="6" t="s">
        <v>43</v>
      </c>
      <c r="C29" s="5">
        <v>4</v>
      </c>
      <c r="D29" s="5" t="s">
        <v>44</v>
      </c>
      <c r="E29" s="7" t="s">
        <v>186</v>
      </c>
      <c r="F29" s="5">
        <v>18010</v>
      </c>
      <c r="G29" s="8">
        <v>46069</v>
      </c>
      <c r="H29" s="8">
        <v>46069</v>
      </c>
      <c r="I29" s="8">
        <v>46069</v>
      </c>
      <c r="J29" s="8">
        <v>46069</v>
      </c>
      <c r="K29" s="9" t="s">
        <v>187</v>
      </c>
      <c r="L29" s="7" t="s">
        <v>188</v>
      </c>
      <c r="M29" s="5" t="s">
        <v>189</v>
      </c>
      <c r="N29" s="5" t="s">
        <v>49</v>
      </c>
      <c r="O29" s="5" t="s">
        <v>203</v>
      </c>
      <c r="P29" s="7" t="s">
        <v>51</v>
      </c>
      <c r="Q29" s="7" t="s">
        <v>51</v>
      </c>
      <c r="R29" s="10" t="s">
        <v>204</v>
      </c>
      <c r="S29" s="7" t="s">
        <v>205</v>
      </c>
      <c r="T29" s="11">
        <v>18.100000000000001</v>
      </c>
      <c r="U29" s="12">
        <v>0</v>
      </c>
      <c r="V29" s="7" t="s">
        <v>206</v>
      </c>
      <c r="W29" s="12">
        <v>0</v>
      </c>
      <c r="X29" s="5" t="s">
        <v>207</v>
      </c>
      <c r="Y29" s="12">
        <v>408.01</v>
      </c>
      <c r="Z29" s="12">
        <v>208.82</v>
      </c>
      <c r="AA29" s="12">
        <v>199.19</v>
      </c>
      <c r="AB29" s="12">
        <v>0</v>
      </c>
      <c r="AC29" s="12">
        <v>0</v>
      </c>
      <c r="AD29" s="13">
        <v>12</v>
      </c>
      <c r="AE29" s="5"/>
      <c r="AF29" s="5"/>
      <c r="AG29" s="5">
        <v>1</v>
      </c>
      <c r="AH29" s="5">
        <v>1</v>
      </c>
      <c r="AI29" s="7">
        <v>46077.770138888889</v>
      </c>
      <c r="AJ29" s="5" t="s">
        <v>83</v>
      </c>
      <c r="AK29" s="5" t="s">
        <v>196</v>
      </c>
      <c r="AL29" s="7">
        <v>46070.682013888887</v>
      </c>
      <c r="AM29" s="7" t="s">
        <v>197</v>
      </c>
      <c r="AN29" s="7" t="s">
        <v>208</v>
      </c>
      <c r="AO29" s="7" t="s">
        <v>58</v>
      </c>
    </row>
    <row r="30" spans="1:41" x14ac:dyDescent="0.25">
      <c r="A30" s="5" t="s">
        <v>42</v>
      </c>
      <c r="B30" s="6" t="s">
        <v>43</v>
      </c>
      <c r="C30" s="5">
        <v>4</v>
      </c>
      <c r="D30" s="5" t="s">
        <v>44</v>
      </c>
      <c r="E30" s="7" t="s">
        <v>186</v>
      </c>
      <c r="F30" s="5">
        <v>18011</v>
      </c>
      <c r="G30" s="8">
        <v>46069</v>
      </c>
      <c r="H30" s="8">
        <v>46069</v>
      </c>
      <c r="I30" s="8">
        <v>46069</v>
      </c>
      <c r="J30" s="8">
        <v>46069</v>
      </c>
      <c r="K30" s="9" t="s">
        <v>187</v>
      </c>
      <c r="L30" s="7" t="s">
        <v>188</v>
      </c>
      <c r="M30" s="5" t="s">
        <v>189</v>
      </c>
      <c r="N30" s="5" t="s">
        <v>49</v>
      </c>
      <c r="O30" s="5" t="s">
        <v>209</v>
      </c>
      <c r="P30" s="7" t="s">
        <v>51</v>
      </c>
      <c r="Q30" s="7" t="s">
        <v>51</v>
      </c>
      <c r="R30" s="10" t="s">
        <v>210</v>
      </c>
      <c r="S30" s="7" t="s">
        <v>211</v>
      </c>
      <c r="T30" s="11">
        <v>15.7</v>
      </c>
      <c r="U30" s="12">
        <v>0</v>
      </c>
      <c r="V30" s="7" t="s">
        <v>212</v>
      </c>
      <c r="W30" s="12">
        <v>0</v>
      </c>
      <c r="X30" s="5" t="s">
        <v>213</v>
      </c>
      <c r="Y30" s="12">
        <v>310.86</v>
      </c>
      <c r="Z30" s="12">
        <v>159.1</v>
      </c>
      <c r="AA30" s="12">
        <v>151.76</v>
      </c>
      <c r="AB30" s="12">
        <v>0</v>
      </c>
      <c r="AC30" s="12">
        <v>0</v>
      </c>
      <c r="AD30" s="13">
        <v>11</v>
      </c>
      <c r="AE30" s="5"/>
      <c r="AF30" s="5"/>
      <c r="AG30" s="5">
        <v>1</v>
      </c>
      <c r="AH30" s="5">
        <v>1</v>
      </c>
      <c r="AI30" s="7">
        <v>46077.770138888889</v>
      </c>
      <c r="AJ30" s="5" t="s">
        <v>83</v>
      </c>
      <c r="AK30" s="5" t="s">
        <v>196</v>
      </c>
      <c r="AL30" s="7">
        <v>46071.669976851852</v>
      </c>
      <c r="AM30" s="7" t="s">
        <v>85</v>
      </c>
      <c r="AN30" s="7" t="s">
        <v>214</v>
      </c>
      <c r="AO30" s="7" t="s">
        <v>58</v>
      </c>
    </row>
    <row r="31" spans="1:41" x14ac:dyDescent="0.25">
      <c r="A31" s="5" t="s">
        <v>42</v>
      </c>
      <c r="B31" s="6" t="s">
        <v>43</v>
      </c>
      <c r="C31" s="5">
        <v>4</v>
      </c>
      <c r="D31" s="5" t="s">
        <v>44</v>
      </c>
      <c r="E31" s="7" t="s">
        <v>186</v>
      </c>
      <c r="F31" s="5">
        <v>18024</v>
      </c>
      <c r="G31" s="8">
        <v>46069</v>
      </c>
      <c r="H31" s="8">
        <v>46069</v>
      </c>
      <c r="I31" s="8">
        <v>46069</v>
      </c>
      <c r="J31" s="8">
        <v>46069</v>
      </c>
      <c r="K31" s="9" t="s">
        <v>187</v>
      </c>
      <c r="L31" s="7" t="s">
        <v>188</v>
      </c>
      <c r="M31" s="5" t="s">
        <v>189</v>
      </c>
      <c r="N31" s="5" t="s">
        <v>49</v>
      </c>
      <c r="O31" s="5" t="s">
        <v>215</v>
      </c>
      <c r="P31" s="7" t="s">
        <v>51</v>
      </c>
      <c r="Q31" s="7" t="s">
        <v>51</v>
      </c>
      <c r="R31" s="10" t="s">
        <v>216</v>
      </c>
      <c r="S31" s="7" t="s">
        <v>217</v>
      </c>
      <c r="T31" s="11">
        <v>17</v>
      </c>
      <c r="U31" s="12">
        <v>0</v>
      </c>
      <c r="V31" s="7" t="s">
        <v>218</v>
      </c>
      <c r="W31" s="12">
        <v>0</v>
      </c>
      <c r="X31" s="5" t="s">
        <v>219</v>
      </c>
      <c r="Y31" s="12">
        <v>478.72</v>
      </c>
      <c r="Z31" s="12">
        <v>155.49</v>
      </c>
      <c r="AA31" s="12">
        <v>148.22999999999999</v>
      </c>
      <c r="AB31" s="12">
        <v>175</v>
      </c>
      <c r="AC31" s="12">
        <v>0</v>
      </c>
      <c r="AD31" s="13">
        <v>7</v>
      </c>
      <c r="AE31" s="5"/>
      <c r="AF31" s="5"/>
      <c r="AG31" s="5">
        <v>1</v>
      </c>
      <c r="AH31" s="5">
        <v>1</v>
      </c>
      <c r="AI31" s="7">
        <v>46078.440972222219</v>
      </c>
      <c r="AJ31" s="5" t="s">
        <v>83</v>
      </c>
      <c r="AK31" s="5" t="s">
        <v>196</v>
      </c>
      <c r="AL31" s="7">
        <v>46069.779432870368</v>
      </c>
      <c r="AM31" s="7" t="s">
        <v>197</v>
      </c>
      <c r="AN31" s="7" t="s">
        <v>220</v>
      </c>
      <c r="AO31" s="7" t="s">
        <v>58</v>
      </c>
    </row>
    <row r="32" spans="1:41" x14ac:dyDescent="0.25">
      <c r="A32" s="5" t="s">
        <v>42</v>
      </c>
      <c r="B32" s="6" t="s">
        <v>43</v>
      </c>
      <c r="C32" s="5">
        <v>4</v>
      </c>
      <c r="D32" s="5" t="s">
        <v>44</v>
      </c>
      <c r="E32" s="7" t="s">
        <v>186</v>
      </c>
      <c r="F32" s="5">
        <v>18025</v>
      </c>
      <c r="G32" s="8">
        <v>46069</v>
      </c>
      <c r="H32" s="8">
        <v>46069</v>
      </c>
      <c r="I32" s="8">
        <v>46069</v>
      </c>
      <c r="J32" s="8">
        <v>46069</v>
      </c>
      <c r="K32" s="9" t="s">
        <v>187</v>
      </c>
      <c r="L32" s="7" t="s">
        <v>188</v>
      </c>
      <c r="M32" s="5" t="s">
        <v>189</v>
      </c>
      <c r="N32" s="5" t="s">
        <v>49</v>
      </c>
      <c r="O32" s="5" t="s">
        <v>221</v>
      </c>
      <c r="P32" s="7" t="s">
        <v>51</v>
      </c>
      <c r="Q32" s="7" t="s">
        <v>51</v>
      </c>
      <c r="R32" s="10" t="s">
        <v>222</v>
      </c>
      <c r="S32" s="7" t="s">
        <v>223</v>
      </c>
      <c r="T32" s="11">
        <v>16</v>
      </c>
      <c r="U32" s="12">
        <v>0</v>
      </c>
      <c r="V32" s="7" t="s">
        <v>224</v>
      </c>
      <c r="W32" s="12">
        <v>0</v>
      </c>
      <c r="X32" s="5" t="s">
        <v>225</v>
      </c>
      <c r="Y32" s="12">
        <v>489.5</v>
      </c>
      <c r="Z32" s="12">
        <v>146.44999999999999</v>
      </c>
      <c r="AA32" s="12">
        <v>139.6</v>
      </c>
      <c r="AB32" s="12">
        <v>203.45</v>
      </c>
      <c r="AC32" s="12">
        <v>0</v>
      </c>
      <c r="AD32" s="13">
        <v>5</v>
      </c>
      <c r="AE32" s="5"/>
      <c r="AF32" s="5"/>
      <c r="AG32" s="5">
        <v>1</v>
      </c>
      <c r="AH32" s="5">
        <v>1</v>
      </c>
      <c r="AI32" s="7">
        <v>46078.440972222219</v>
      </c>
      <c r="AJ32" s="5" t="s">
        <v>83</v>
      </c>
      <c r="AK32" s="5" t="s">
        <v>196</v>
      </c>
      <c r="AL32" s="7">
        <v>46071.66605324074</v>
      </c>
      <c r="AM32" s="7" t="s">
        <v>85</v>
      </c>
      <c r="AN32" s="7" t="s">
        <v>226</v>
      </c>
      <c r="AO32" s="7" t="s">
        <v>58</v>
      </c>
    </row>
    <row r="33" spans="1:41" x14ac:dyDescent="0.25">
      <c r="A33" s="5" t="s">
        <v>42</v>
      </c>
      <c r="B33" s="6" t="s">
        <v>43</v>
      </c>
      <c r="C33" s="5">
        <v>4</v>
      </c>
      <c r="D33" s="5" t="s">
        <v>44</v>
      </c>
      <c r="E33" s="7" t="s">
        <v>186</v>
      </c>
      <c r="F33" s="5">
        <v>18073</v>
      </c>
      <c r="G33" s="8">
        <v>46069</v>
      </c>
      <c r="H33" s="8">
        <v>46069</v>
      </c>
      <c r="I33" s="8">
        <v>46069</v>
      </c>
      <c r="J33" s="8">
        <v>46069</v>
      </c>
      <c r="K33" s="9" t="s">
        <v>187</v>
      </c>
      <c r="L33" s="7" t="s">
        <v>188</v>
      </c>
      <c r="M33" s="5" t="s">
        <v>189</v>
      </c>
      <c r="N33" s="5" t="s">
        <v>49</v>
      </c>
      <c r="O33" s="5" t="s">
        <v>227</v>
      </c>
      <c r="P33" s="7" t="s">
        <v>51</v>
      </c>
      <c r="Q33" s="7" t="s">
        <v>51</v>
      </c>
      <c r="R33" s="10" t="s">
        <v>228</v>
      </c>
      <c r="S33" s="7" t="s">
        <v>229</v>
      </c>
      <c r="T33" s="11">
        <v>8.8000000000000007</v>
      </c>
      <c r="U33" s="12">
        <v>0</v>
      </c>
      <c r="V33" s="7" t="s">
        <v>230</v>
      </c>
      <c r="W33" s="12">
        <v>0</v>
      </c>
      <c r="X33" s="5" t="s">
        <v>231</v>
      </c>
      <c r="Y33" s="12">
        <v>155.43</v>
      </c>
      <c r="Z33" s="12">
        <v>79.55</v>
      </c>
      <c r="AA33" s="12">
        <v>75.88</v>
      </c>
      <c r="AB33" s="12">
        <v>0</v>
      </c>
      <c r="AC33" s="12">
        <v>0</v>
      </c>
      <c r="AD33" s="13">
        <v>9</v>
      </c>
      <c r="AE33" s="5"/>
      <c r="AF33" s="5"/>
      <c r="AG33" s="5">
        <v>1</v>
      </c>
      <c r="AH33" s="5">
        <v>1</v>
      </c>
      <c r="AI33" s="7">
        <v>46078.433333333334</v>
      </c>
      <c r="AJ33" s="5" t="s">
        <v>83</v>
      </c>
      <c r="AK33" s="5" t="s">
        <v>196</v>
      </c>
      <c r="AL33" s="7">
        <v>46070.488368055558</v>
      </c>
      <c r="AM33" s="7" t="s">
        <v>197</v>
      </c>
      <c r="AN33" s="7" t="s">
        <v>232</v>
      </c>
      <c r="AO33" s="7" t="s">
        <v>58</v>
      </c>
    </row>
    <row r="34" spans="1:41" x14ac:dyDescent="0.25">
      <c r="A34" s="5" t="s">
        <v>42</v>
      </c>
      <c r="B34" s="6" t="s">
        <v>43</v>
      </c>
      <c r="C34" s="5">
        <v>4</v>
      </c>
      <c r="D34" s="5" t="s">
        <v>44</v>
      </c>
      <c r="E34" s="7" t="s">
        <v>186</v>
      </c>
      <c r="F34" s="5">
        <v>18074</v>
      </c>
      <c r="G34" s="8">
        <v>46069</v>
      </c>
      <c r="H34" s="8">
        <v>46069</v>
      </c>
      <c r="I34" s="8">
        <v>46069</v>
      </c>
      <c r="J34" s="8">
        <v>46069</v>
      </c>
      <c r="K34" s="9" t="s">
        <v>187</v>
      </c>
      <c r="L34" s="7" t="s">
        <v>188</v>
      </c>
      <c r="M34" s="5" t="s">
        <v>189</v>
      </c>
      <c r="N34" s="5" t="s">
        <v>49</v>
      </c>
      <c r="O34" s="5" t="s">
        <v>233</v>
      </c>
      <c r="P34" s="7" t="s">
        <v>51</v>
      </c>
      <c r="Q34" s="7" t="s">
        <v>51</v>
      </c>
      <c r="R34" s="10" t="s">
        <v>234</v>
      </c>
      <c r="S34" s="7" t="s">
        <v>235</v>
      </c>
      <c r="T34" s="11">
        <v>7.8</v>
      </c>
      <c r="U34" s="12">
        <v>0</v>
      </c>
      <c r="V34" s="7" t="s">
        <v>236</v>
      </c>
      <c r="W34" s="12">
        <v>0</v>
      </c>
      <c r="X34" s="5" t="s">
        <v>237</v>
      </c>
      <c r="Y34" s="12">
        <v>176.63</v>
      </c>
      <c r="Z34" s="12">
        <v>90.4</v>
      </c>
      <c r="AA34" s="12">
        <v>86.23</v>
      </c>
      <c r="AB34" s="12">
        <v>0</v>
      </c>
      <c r="AC34" s="12">
        <v>0</v>
      </c>
      <c r="AD34" s="13">
        <v>12</v>
      </c>
      <c r="AE34" s="5"/>
      <c r="AF34" s="5"/>
      <c r="AG34" s="5">
        <v>1</v>
      </c>
      <c r="AH34" s="5">
        <v>1</v>
      </c>
      <c r="AI34" s="7">
        <v>46078.434027777781</v>
      </c>
      <c r="AJ34" s="5" t="s">
        <v>83</v>
      </c>
      <c r="AK34" s="5" t="s">
        <v>196</v>
      </c>
      <c r="AL34" s="7">
        <v>46071.668564814812</v>
      </c>
      <c r="AM34" s="7" t="s">
        <v>85</v>
      </c>
      <c r="AN34" s="7" t="s">
        <v>238</v>
      </c>
      <c r="AO34" s="7" t="s">
        <v>58</v>
      </c>
    </row>
    <row r="35" spans="1:41" x14ac:dyDescent="0.25">
      <c r="A35" s="5" t="s">
        <v>42</v>
      </c>
      <c r="B35" s="6" t="s">
        <v>43</v>
      </c>
      <c r="C35" s="5">
        <v>4</v>
      </c>
      <c r="D35" s="5" t="s">
        <v>44</v>
      </c>
      <c r="E35" s="7" t="s">
        <v>74</v>
      </c>
      <c r="F35" s="5">
        <v>18450</v>
      </c>
      <c r="G35" s="8">
        <v>46069</v>
      </c>
      <c r="H35" s="8">
        <v>46069</v>
      </c>
      <c r="I35" s="8">
        <v>46069</v>
      </c>
      <c r="J35" s="8">
        <v>46069</v>
      </c>
      <c r="K35" s="9" t="s">
        <v>187</v>
      </c>
      <c r="L35" s="7" t="s">
        <v>188</v>
      </c>
      <c r="M35" s="5" t="s">
        <v>189</v>
      </c>
      <c r="N35" s="5" t="s">
        <v>49</v>
      </c>
      <c r="O35" s="5" t="s">
        <v>239</v>
      </c>
      <c r="P35" s="7" t="s">
        <v>51</v>
      </c>
      <c r="Q35" s="7" t="s">
        <v>240</v>
      </c>
      <c r="R35" s="10" t="s">
        <v>241</v>
      </c>
      <c r="S35" s="7" t="s">
        <v>242</v>
      </c>
      <c r="T35" s="11">
        <v>13.4</v>
      </c>
      <c r="U35" s="12">
        <v>0</v>
      </c>
      <c r="V35" s="7" t="s">
        <v>243</v>
      </c>
      <c r="W35" s="12">
        <v>0</v>
      </c>
      <c r="X35" s="5" t="s">
        <v>244</v>
      </c>
      <c r="Y35" s="12">
        <v>236.69</v>
      </c>
      <c r="Z35" s="12">
        <v>121.14</v>
      </c>
      <c r="AA35" s="12">
        <v>115.55</v>
      </c>
      <c r="AB35" s="12">
        <v>0</v>
      </c>
      <c r="AC35" s="12">
        <v>0</v>
      </c>
      <c r="AD35" s="13">
        <v>15</v>
      </c>
      <c r="AE35" s="5"/>
      <c r="AF35" s="5"/>
      <c r="AG35" s="5">
        <v>1</v>
      </c>
      <c r="AH35" s="5">
        <v>1</v>
      </c>
      <c r="AI35" s="7">
        <v>46078.418749999997</v>
      </c>
      <c r="AJ35" s="5" t="s">
        <v>83</v>
      </c>
      <c r="AK35" s="5" t="s">
        <v>196</v>
      </c>
      <c r="AL35" s="7">
        <v>46070.681377314817</v>
      </c>
      <c r="AM35" s="7" t="s">
        <v>197</v>
      </c>
      <c r="AN35" s="7" t="s">
        <v>245</v>
      </c>
      <c r="AO35" s="7" t="s">
        <v>58</v>
      </c>
    </row>
    <row r="36" spans="1:41" x14ac:dyDescent="0.25">
      <c r="A36" s="5" t="s">
        <v>42</v>
      </c>
      <c r="B36" s="6" t="s">
        <v>43</v>
      </c>
      <c r="C36" s="5">
        <v>4</v>
      </c>
      <c r="D36" s="5" t="s">
        <v>44</v>
      </c>
      <c r="E36" s="7" t="s">
        <v>74</v>
      </c>
      <c r="F36" s="5">
        <v>18452</v>
      </c>
      <c r="G36" s="8">
        <v>46069</v>
      </c>
      <c r="H36" s="8">
        <v>46069</v>
      </c>
      <c r="I36" s="8">
        <v>46069</v>
      </c>
      <c r="J36" s="8">
        <v>46069</v>
      </c>
      <c r="K36" s="9" t="s">
        <v>187</v>
      </c>
      <c r="L36" s="7" t="s">
        <v>188</v>
      </c>
      <c r="M36" s="5" t="s">
        <v>189</v>
      </c>
      <c r="N36" s="5" t="s">
        <v>49</v>
      </c>
      <c r="O36" s="5" t="s">
        <v>246</v>
      </c>
      <c r="P36" s="7" t="s">
        <v>240</v>
      </c>
      <c r="Q36" s="7" t="s">
        <v>51</v>
      </c>
      <c r="R36" s="10" t="s">
        <v>247</v>
      </c>
      <c r="S36" s="7" t="s">
        <v>248</v>
      </c>
      <c r="T36" s="11">
        <v>18.3</v>
      </c>
      <c r="U36" s="12">
        <v>0</v>
      </c>
      <c r="V36" s="7" t="s">
        <v>249</v>
      </c>
      <c r="W36" s="12">
        <v>0</v>
      </c>
      <c r="X36" s="5" t="s">
        <v>250</v>
      </c>
      <c r="Y36" s="12">
        <v>323.23</v>
      </c>
      <c r="Z36" s="12">
        <v>165.43</v>
      </c>
      <c r="AA36" s="12">
        <v>157.80000000000001</v>
      </c>
      <c r="AB36" s="12">
        <v>0</v>
      </c>
      <c r="AC36" s="12">
        <v>0</v>
      </c>
      <c r="AD36" s="13">
        <v>13</v>
      </c>
      <c r="AE36" s="5"/>
      <c r="AF36" s="5"/>
      <c r="AG36" s="5">
        <v>1</v>
      </c>
      <c r="AH36" s="5">
        <v>1</v>
      </c>
      <c r="AI36" s="7">
        <v>46078.418749999997</v>
      </c>
      <c r="AJ36" s="5" t="s">
        <v>83</v>
      </c>
      <c r="AK36" s="5" t="s">
        <v>196</v>
      </c>
      <c r="AL36" s="7">
        <v>46071.670162037037</v>
      </c>
      <c r="AM36" s="7" t="s">
        <v>85</v>
      </c>
      <c r="AN36" s="7" t="s">
        <v>251</v>
      </c>
      <c r="AO36" s="7" t="s">
        <v>58</v>
      </c>
    </row>
    <row r="37" spans="1:41" x14ac:dyDescent="0.25">
      <c r="A37" s="5" t="s">
        <v>42</v>
      </c>
      <c r="B37" s="6" t="s">
        <v>43</v>
      </c>
      <c r="C37" s="5">
        <v>4</v>
      </c>
      <c r="D37" s="5" t="s">
        <v>44</v>
      </c>
      <c r="E37" s="7" t="s">
        <v>45</v>
      </c>
      <c r="F37" s="5">
        <v>18929</v>
      </c>
      <c r="G37" s="8">
        <v>46069</v>
      </c>
      <c r="H37" s="8">
        <v>46069</v>
      </c>
      <c r="I37" s="8">
        <v>46069</v>
      </c>
      <c r="J37" s="8">
        <v>46069</v>
      </c>
      <c r="K37" s="9" t="s">
        <v>46</v>
      </c>
      <c r="L37" s="7" t="s">
        <v>47</v>
      </c>
      <c r="M37" s="5" t="s">
        <v>48</v>
      </c>
      <c r="N37" s="5" t="s">
        <v>49</v>
      </c>
      <c r="O37" s="5" t="s">
        <v>50</v>
      </c>
      <c r="P37" s="7" t="s">
        <v>51</v>
      </c>
      <c r="Q37" s="7" t="s">
        <v>51</v>
      </c>
      <c r="R37" s="10" t="s">
        <v>252</v>
      </c>
      <c r="S37" s="7" t="s">
        <v>253</v>
      </c>
      <c r="T37" s="11">
        <v>11.4</v>
      </c>
      <c r="U37" s="12">
        <v>0</v>
      </c>
      <c r="V37" s="7" t="s">
        <v>54</v>
      </c>
      <c r="W37" s="12">
        <v>0</v>
      </c>
      <c r="X37" s="5" t="s">
        <v>254</v>
      </c>
      <c r="Y37" s="12">
        <v>281.23</v>
      </c>
      <c r="Z37" s="12">
        <v>0.13</v>
      </c>
      <c r="AA37" s="12">
        <v>106.1</v>
      </c>
      <c r="AB37" s="12">
        <v>175</v>
      </c>
      <c r="AC37" s="12">
        <v>0</v>
      </c>
      <c r="AD37" s="13">
        <v>76</v>
      </c>
      <c r="AE37" s="5"/>
      <c r="AF37" s="5"/>
      <c r="AG37" s="5">
        <v>1</v>
      </c>
      <c r="AH37" s="5">
        <v>1</v>
      </c>
      <c r="AI37" s="7">
        <v>46078.72152777778</v>
      </c>
      <c r="AJ37" s="5" t="s">
        <v>83</v>
      </c>
      <c r="AK37" s="5" t="s">
        <v>147</v>
      </c>
      <c r="AL37" s="7">
        <v>46071.538194444445</v>
      </c>
      <c r="AM37" s="7" t="s">
        <v>92</v>
      </c>
      <c r="AN37" s="7" t="s">
        <v>255</v>
      </c>
      <c r="AO37" s="7" t="s">
        <v>58</v>
      </c>
    </row>
    <row r="38" spans="1:41" x14ac:dyDescent="0.25">
      <c r="A38" s="5" t="s">
        <v>42</v>
      </c>
      <c r="B38" s="6" t="s">
        <v>43</v>
      </c>
      <c r="C38" s="5">
        <v>4</v>
      </c>
      <c r="D38" s="5" t="s">
        <v>44</v>
      </c>
      <c r="E38" s="7" t="s">
        <v>45</v>
      </c>
      <c r="F38" s="5">
        <v>18930</v>
      </c>
      <c r="G38" s="8">
        <v>46069</v>
      </c>
      <c r="H38" s="8">
        <v>46069</v>
      </c>
      <c r="I38" s="8">
        <v>46069</v>
      </c>
      <c r="J38" s="8">
        <v>46069</v>
      </c>
      <c r="K38" s="9" t="s">
        <v>46</v>
      </c>
      <c r="L38" s="7" t="s">
        <v>47</v>
      </c>
      <c r="M38" s="5" t="s">
        <v>48</v>
      </c>
      <c r="N38" s="5" t="s">
        <v>49</v>
      </c>
      <c r="O38" s="5" t="s">
        <v>59</v>
      </c>
      <c r="P38" s="7" t="s">
        <v>51</v>
      </c>
      <c r="Q38" s="7" t="s">
        <v>51</v>
      </c>
      <c r="R38" s="10" t="s">
        <v>256</v>
      </c>
      <c r="S38" s="7" t="s">
        <v>257</v>
      </c>
      <c r="T38" s="11">
        <v>13.1</v>
      </c>
      <c r="U38" s="12">
        <v>0</v>
      </c>
      <c r="V38" s="7" t="s">
        <v>258</v>
      </c>
      <c r="W38" s="12">
        <v>0</v>
      </c>
      <c r="X38" s="5" t="s">
        <v>259</v>
      </c>
      <c r="Y38" s="12">
        <v>295.95999999999998</v>
      </c>
      <c r="Z38" s="12">
        <v>0.11</v>
      </c>
      <c r="AA38" s="12">
        <v>92.4</v>
      </c>
      <c r="AB38" s="12">
        <v>203.45</v>
      </c>
      <c r="AC38" s="12">
        <v>0</v>
      </c>
      <c r="AD38" s="13">
        <v>73</v>
      </c>
      <c r="AE38" s="5"/>
      <c r="AF38" s="5"/>
      <c r="AG38" s="5">
        <v>1</v>
      </c>
      <c r="AH38" s="5">
        <v>1</v>
      </c>
      <c r="AI38" s="7">
        <v>46078.72152777778</v>
      </c>
      <c r="AJ38" s="5" t="s">
        <v>83</v>
      </c>
      <c r="AK38" s="5" t="s">
        <v>147</v>
      </c>
      <c r="AL38" s="7">
        <v>46071.928981481484</v>
      </c>
      <c r="AM38" s="7" t="s">
        <v>56</v>
      </c>
      <c r="AN38" s="7" t="s">
        <v>260</v>
      </c>
      <c r="AO38" s="7" t="s">
        <v>58</v>
      </c>
    </row>
    <row r="39" spans="1:41" x14ac:dyDescent="0.25">
      <c r="A39" s="5" t="s">
        <v>42</v>
      </c>
      <c r="B39" s="6" t="s">
        <v>43</v>
      </c>
      <c r="C39" s="5">
        <v>4</v>
      </c>
      <c r="D39" s="5" t="s">
        <v>44</v>
      </c>
      <c r="E39" s="7" t="s">
        <v>45</v>
      </c>
      <c r="F39" s="5">
        <v>18931</v>
      </c>
      <c r="G39" s="8">
        <v>46069</v>
      </c>
      <c r="H39" s="8">
        <v>46069</v>
      </c>
      <c r="I39" s="8">
        <v>46069</v>
      </c>
      <c r="J39" s="8">
        <v>46069</v>
      </c>
      <c r="K39" s="9" t="s">
        <v>46</v>
      </c>
      <c r="L39" s="7" t="s">
        <v>47</v>
      </c>
      <c r="M39" s="5" t="s">
        <v>48</v>
      </c>
      <c r="N39" s="5" t="s">
        <v>49</v>
      </c>
      <c r="O39" s="5" t="s">
        <v>50</v>
      </c>
      <c r="P39" s="7" t="s">
        <v>51</v>
      </c>
      <c r="Q39" s="7" t="s">
        <v>51</v>
      </c>
      <c r="R39" s="10" t="s">
        <v>261</v>
      </c>
      <c r="S39" s="7" t="s">
        <v>262</v>
      </c>
      <c r="T39" s="11">
        <v>11.4</v>
      </c>
      <c r="U39" s="12">
        <v>0</v>
      </c>
      <c r="V39" s="7" t="s">
        <v>54</v>
      </c>
      <c r="W39" s="12">
        <v>0</v>
      </c>
      <c r="X39" s="5" t="s">
        <v>263</v>
      </c>
      <c r="Y39" s="12">
        <v>281.23</v>
      </c>
      <c r="Z39" s="12">
        <v>0.13</v>
      </c>
      <c r="AA39" s="12">
        <v>106.1</v>
      </c>
      <c r="AB39" s="12">
        <v>175</v>
      </c>
      <c r="AC39" s="12">
        <v>0</v>
      </c>
      <c r="AD39" s="13"/>
      <c r="AE39" s="5"/>
      <c r="AF39" s="5"/>
      <c r="AG39" s="5">
        <v>1</v>
      </c>
      <c r="AH39" s="5">
        <v>1</v>
      </c>
      <c r="AI39" s="7">
        <v>46078.722222222219</v>
      </c>
      <c r="AJ39" s="5" t="s">
        <v>83</v>
      </c>
      <c r="AK39" s="5" t="s">
        <v>147</v>
      </c>
      <c r="AL39" s="7">
        <v>46071.538298611114</v>
      </c>
      <c r="AM39" s="7" t="s">
        <v>92</v>
      </c>
      <c r="AN39" s="7" t="s">
        <v>264</v>
      </c>
      <c r="AO39" s="7" t="s">
        <v>58</v>
      </c>
    </row>
    <row r="40" spans="1:41" x14ac:dyDescent="0.25">
      <c r="A40" s="5" t="s">
        <v>42</v>
      </c>
      <c r="B40" s="6" t="s">
        <v>43</v>
      </c>
      <c r="C40" s="5">
        <v>4</v>
      </c>
      <c r="D40" s="5" t="s">
        <v>44</v>
      </c>
      <c r="E40" s="7" t="s">
        <v>45</v>
      </c>
      <c r="F40" s="5">
        <v>18932</v>
      </c>
      <c r="G40" s="8">
        <v>46069</v>
      </c>
      <c r="H40" s="8">
        <v>46069</v>
      </c>
      <c r="I40" s="8">
        <v>46069</v>
      </c>
      <c r="J40" s="8">
        <v>46069</v>
      </c>
      <c r="K40" s="9" t="s">
        <v>46</v>
      </c>
      <c r="L40" s="7" t="s">
        <v>47</v>
      </c>
      <c r="M40" s="5" t="s">
        <v>48</v>
      </c>
      <c r="N40" s="5" t="s">
        <v>49</v>
      </c>
      <c r="O40" s="5" t="s">
        <v>59</v>
      </c>
      <c r="P40" s="7" t="s">
        <v>51</v>
      </c>
      <c r="Q40" s="7" t="s">
        <v>51</v>
      </c>
      <c r="R40" s="10" t="s">
        <v>265</v>
      </c>
      <c r="S40" s="7" t="s">
        <v>266</v>
      </c>
      <c r="T40" s="11">
        <v>13.1</v>
      </c>
      <c r="U40" s="12">
        <v>0</v>
      </c>
      <c r="V40" s="7" t="s">
        <v>267</v>
      </c>
      <c r="W40" s="12">
        <v>0</v>
      </c>
      <c r="X40" s="5" t="s">
        <v>268</v>
      </c>
      <c r="Y40" s="12">
        <v>295.95999999999998</v>
      </c>
      <c r="Z40" s="12">
        <v>0.11</v>
      </c>
      <c r="AA40" s="12">
        <v>92.4</v>
      </c>
      <c r="AB40" s="12">
        <v>203.45</v>
      </c>
      <c r="AC40" s="12">
        <v>0</v>
      </c>
      <c r="AD40" s="13"/>
      <c r="AE40" s="5"/>
      <c r="AF40" s="5"/>
      <c r="AG40" s="5">
        <v>1</v>
      </c>
      <c r="AH40" s="5">
        <v>1</v>
      </c>
      <c r="AI40" s="7">
        <v>46078.722222222219</v>
      </c>
      <c r="AJ40" s="5" t="s">
        <v>83</v>
      </c>
      <c r="AK40" s="5" t="s">
        <v>147</v>
      </c>
      <c r="AL40" s="7">
        <v>46071.929108796299</v>
      </c>
      <c r="AM40" s="7" t="s">
        <v>56</v>
      </c>
      <c r="AN40" s="7" t="s">
        <v>180</v>
      </c>
      <c r="AO40" s="7" t="s">
        <v>58</v>
      </c>
    </row>
    <row r="41" spans="1:41" x14ac:dyDescent="0.25">
      <c r="A41" s="5" t="s">
        <v>42</v>
      </c>
      <c r="B41" s="6" t="s">
        <v>43</v>
      </c>
      <c r="C41" s="5">
        <v>4</v>
      </c>
      <c r="D41" s="5" t="s">
        <v>44</v>
      </c>
      <c r="E41" s="7" t="s">
        <v>45</v>
      </c>
      <c r="F41" s="5">
        <v>19058</v>
      </c>
      <c r="G41" s="8">
        <v>46069</v>
      </c>
      <c r="H41" s="8">
        <v>46069</v>
      </c>
      <c r="I41" s="8">
        <v>46069</v>
      </c>
      <c r="J41" s="8">
        <v>46069</v>
      </c>
      <c r="K41" s="9" t="s">
        <v>269</v>
      </c>
      <c r="L41" s="7" t="s">
        <v>270</v>
      </c>
      <c r="M41" s="5" t="s">
        <v>271</v>
      </c>
      <c r="N41" s="5" t="s">
        <v>49</v>
      </c>
      <c r="O41" s="5" t="s">
        <v>50</v>
      </c>
      <c r="P41" s="7" t="s">
        <v>51</v>
      </c>
      <c r="Q41" s="7" t="s">
        <v>51</v>
      </c>
      <c r="R41" s="10" t="s">
        <v>272</v>
      </c>
      <c r="S41" s="7" t="s">
        <v>273</v>
      </c>
      <c r="T41" s="11">
        <v>11.4</v>
      </c>
      <c r="U41" s="12">
        <v>0</v>
      </c>
      <c r="V41" s="7" t="s">
        <v>54</v>
      </c>
      <c r="W41" s="12">
        <v>0</v>
      </c>
      <c r="X41" s="5" t="s">
        <v>274</v>
      </c>
      <c r="Y41" s="12">
        <v>281.23</v>
      </c>
      <c r="Z41" s="12">
        <v>0.13</v>
      </c>
      <c r="AA41" s="12">
        <v>106.1</v>
      </c>
      <c r="AB41" s="12">
        <v>175</v>
      </c>
      <c r="AC41" s="12">
        <v>0</v>
      </c>
      <c r="AD41" s="13">
        <v>46</v>
      </c>
      <c r="AE41" s="5"/>
      <c r="AF41" s="5"/>
      <c r="AG41" s="5">
        <v>1</v>
      </c>
      <c r="AH41" s="5">
        <v>1</v>
      </c>
      <c r="AI41" s="7">
        <v>46078.746527777781</v>
      </c>
      <c r="AJ41" s="5" t="s">
        <v>83</v>
      </c>
      <c r="AK41" s="5" t="s">
        <v>275</v>
      </c>
      <c r="AL41" s="7">
        <v>46071.720243055555</v>
      </c>
      <c r="AM41" s="7" t="s">
        <v>85</v>
      </c>
      <c r="AN41" s="7" t="s">
        <v>276</v>
      </c>
      <c r="AO41" s="7" t="s">
        <v>58</v>
      </c>
    </row>
    <row r="42" spans="1:41" x14ac:dyDescent="0.25">
      <c r="A42" s="5" t="s">
        <v>42</v>
      </c>
      <c r="B42" s="6" t="s">
        <v>43</v>
      </c>
      <c r="C42" s="5">
        <v>4</v>
      </c>
      <c r="D42" s="5" t="s">
        <v>44</v>
      </c>
      <c r="E42" s="7" t="s">
        <v>45</v>
      </c>
      <c r="F42" s="5">
        <v>19061</v>
      </c>
      <c r="G42" s="8">
        <v>46069</v>
      </c>
      <c r="H42" s="8">
        <v>46069</v>
      </c>
      <c r="I42" s="8">
        <v>46069</v>
      </c>
      <c r="J42" s="8">
        <v>46069</v>
      </c>
      <c r="K42" s="9" t="s">
        <v>269</v>
      </c>
      <c r="L42" s="7" t="s">
        <v>270</v>
      </c>
      <c r="M42" s="5" t="s">
        <v>271</v>
      </c>
      <c r="N42" s="5" t="s">
        <v>49</v>
      </c>
      <c r="O42" s="5" t="s">
        <v>59</v>
      </c>
      <c r="P42" s="7" t="s">
        <v>51</v>
      </c>
      <c r="Q42" s="7" t="s">
        <v>51</v>
      </c>
      <c r="R42" s="10" t="s">
        <v>277</v>
      </c>
      <c r="S42" s="7" t="s">
        <v>278</v>
      </c>
      <c r="T42" s="11">
        <v>13.1</v>
      </c>
      <c r="U42" s="12">
        <v>0</v>
      </c>
      <c r="V42" s="7" t="s">
        <v>279</v>
      </c>
      <c r="W42" s="12">
        <v>0</v>
      </c>
      <c r="X42" s="5" t="s">
        <v>280</v>
      </c>
      <c r="Y42" s="12">
        <v>295.95999999999998</v>
      </c>
      <c r="Z42" s="12">
        <v>0.11</v>
      </c>
      <c r="AA42" s="12">
        <v>92.4</v>
      </c>
      <c r="AB42" s="12">
        <v>203.45</v>
      </c>
      <c r="AC42" s="12">
        <v>0</v>
      </c>
      <c r="AD42" s="13"/>
      <c r="AE42" s="5"/>
      <c r="AF42" s="5"/>
      <c r="AG42" s="5">
        <v>1</v>
      </c>
      <c r="AH42" s="5">
        <v>1</v>
      </c>
      <c r="AI42" s="7">
        <v>46078.74722222222</v>
      </c>
      <c r="AJ42" s="5" t="s">
        <v>83</v>
      </c>
      <c r="AK42" s="5" t="s">
        <v>275</v>
      </c>
      <c r="AL42" s="7">
        <v>46071.934236111112</v>
      </c>
      <c r="AM42" s="7" t="s">
        <v>56</v>
      </c>
      <c r="AN42" s="7" t="s">
        <v>255</v>
      </c>
      <c r="AO42" s="7" t="s">
        <v>58</v>
      </c>
    </row>
    <row r="43" spans="1:41" x14ac:dyDescent="0.25">
      <c r="A43" s="5" t="s">
        <v>42</v>
      </c>
      <c r="B43" s="6" t="s">
        <v>43</v>
      </c>
      <c r="C43" s="5">
        <v>4</v>
      </c>
      <c r="D43" s="5" t="s">
        <v>44</v>
      </c>
      <c r="E43" s="7" t="s">
        <v>45</v>
      </c>
      <c r="F43" s="5">
        <v>19062</v>
      </c>
      <c r="G43" s="8">
        <v>46069</v>
      </c>
      <c r="H43" s="8">
        <v>46069</v>
      </c>
      <c r="I43" s="8">
        <v>46069</v>
      </c>
      <c r="J43" s="8">
        <v>46069</v>
      </c>
      <c r="K43" s="9" t="s">
        <v>269</v>
      </c>
      <c r="L43" s="7" t="s">
        <v>270</v>
      </c>
      <c r="M43" s="5" t="s">
        <v>271</v>
      </c>
      <c r="N43" s="5" t="s">
        <v>49</v>
      </c>
      <c r="O43" s="5" t="s">
        <v>50</v>
      </c>
      <c r="P43" s="7" t="s">
        <v>51</v>
      </c>
      <c r="Q43" s="7" t="s">
        <v>51</v>
      </c>
      <c r="R43" s="10" t="s">
        <v>281</v>
      </c>
      <c r="S43" s="7" t="s">
        <v>282</v>
      </c>
      <c r="T43" s="11">
        <v>11.4</v>
      </c>
      <c r="U43" s="12">
        <v>0</v>
      </c>
      <c r="V43" s="7" t="s">
        <v>54</v>
      </c>
      <c r="W43" s="12">
        <v>0</v>
      </c>
      <c r="X43" s="5" t="s">
        <v>283</v>
      </c>
      <c r="Y43" s="12">
        <v>281.23</v>
      </c>
      <c r="Z43" s="12">
        <v>0.13</v>
      </c>
      <c r="AA43" s="12">
        <v>106.1</v>
      </c>
      <c r="AB43" s="12">
        <v>175</v>
      </c>
      <c r="AC43" s="12">
        <v>0</v>
      </c>
      <c r="AD43" s="13"/>
      <c r="AE43" s="5"/>
      <c r="AF43" s="5"/>
      <c r="AG43" s="5">
        <v>1</v>
      </c>
      <c r="AH43" s="5">
        <v>1</v>
      </c>
      <c r="AI43" s="7">
        <v>46078.74722222222</v>
      </c>
      <c r="AJ43" s="5" t="s">
        <v>83</v>
      </c>
      <c r="AK43" s="5" t="s">
        <v>275</v>
      </c>
      <c r="AL43" s="7">
        <v>46071.72042824074</v>
      </c>
      <c r="AM43" s="7" t="s">
        <v>85</v>
      </c>
      <c r="AN43" s="7" t="s">
        <v>284</v>
      </c>
      <c r="AO43" s="7" t="s">
        <v>58</v>
      </c>
    </row>
    <row r="44" spans="1:41" x14ac:dyDescent="0.25">
      <c r="A44" s="5" t="s">
        <v>42</v>
      </c>
      <c r="B44" s="6" t="s">
        <v>43</v>
      </c>
      <c r="C44" s="5">
        <v>4</v>
      </c>
      <c r="D44" s="5" t="s">
        <v>44</v>
      </c>
      <c r="E44" s="7" t="s">
        <v>45</v>
      </c>
      <c r="F44" s="5">
        <v>19064</v>
      </c>
      <c r="G44" s="8">
        <v>46069</v>
      </c>
      <c r="H44" s="8">
        <v>46069</v>
      </c>
      <c r="I44" s="8">
        <v>46069</v>
      </c>
      <c r="J44" s="8">
        <v>46069</v>
      </c>
      <c r="K44" s="9" t="s">
        <v>269</v>
      </c>
      <c r="L44" s="7" t="s">
        <v>270</v>
      </c>
      <c r="M44" s="5" t="s">
        <v>271</v>
      </c>
      <c r="N44" s="5" t="s">
        <v>49</v>
      </c>
      <c r="O44" s="5" t="s">
        <v>59</v>
      </c>
      <c r="P44" s="7" t="s">
        <v>51</v>
      </c>
      <c r="Q44" s="7" t="s">
        <v>51</v>
      </c>
      <c r="R44" s="10" t="s">
        <v>285</v>
      </c>
      <c r="S44" s="7" t="s">
        <v>286</v>
      </c>
      <c r="T44" s="11">
        <v>13.1</v>
      </c>
      <c r="U44" s="12">
        <v>0</v>
      </c>
      <c r="V44" s="7" t="s">
        <v>287</v>
      </c>
      <c r="W44" s="12">
        <v>0</v>
      </c>
      <c r="X44" s="5" t="s">
        <v>288</v>
      </c>
      <c r="Y44" s="12">
        <v>295.95999999999998</v>
      </c>
      <c r="Z44" s="12">
        <v>0.11</v>
      </c>
      <c r="AA44" s="12">
        <v>92.4</v>
      </c>
      <c r="AB44" s="12">
        <v>203.45</v>
      </c>
      <c r="AC44" s="12">
        <v>0</v>
      </c>
      <c r="AD44" s="13"/>
      <c r="AE44" s="5"/>
      <c r="AF44" s="5"/>
      <c r="AG44" s="5">
        <v>1</v>
      </c>
      <c r="AH44" s="5">
        <v>1</v>
      </c>
      <c r="AI44" s="7">
        <v>46078.747916666667</v>
      </c>
      <c r="AJ44" s="5" t="s">
        <v>83</v>
      </c>
      <c r="AK44" s="5" t="s">
        <v>275</v>
      </c>
      <c r="AL44" s="7">
        <v>46071.93409722222</v>
      </c>
      <c r="AM44" s="7" t="s">
        <v>56</v>
      </c>
      <c r="AN44" s="7" t="s">
        <v>289</v>
      </c>
      <c r="AO44" s="7" t="s">
        <v>58</v>
      </c>
    </row>
    <row r="45" spans="1:41" x14ac:dyDescent="0.25">
      <c r="A45" s="5" t="s">
        <v>42</v>
      </c>
      <c r="B45" s="6" t="s">
        <v>43</v>
      </c>
      <c r="C45" s="5">
        <v>4</v>
      </c>
      <c r="D45" s="5" t="s">
        <v>44</v>
      </c>
      <c r="E45" s="7" t="s">
        <v>186</v>
      </c>
      <c r="F45" s="5">
        <v>18054</v>
      </c>
      <c r="G45" s="8">
        <v>46070</v>
      </c>
      <c r="H45" s="8">
        <v>46070</v>
      </c>
      <c r="I45" s="8">
        <v>46070</v>
      </c>
      <c r="J45" s="8">
        <v>46070</v>
      </c>
      <c r="K45" s="9" t="s">
        <v>187</v>
      </c>
      <c r="L45" s="7" t="s">
        <v>188</v>
      </c>
      <c r="M45" s="5" t="s">
        <v>189</v>
      </c>
      <c r="N45" s="5" t="s">
        <v>49</v>
      </c>
      <c r="O45" s="5" t="s">
        <v>290</v>
      </c>
      <c r="P45" s="7" t="s">
        <v>51</v>
      </c>
      <c r="Q45" s="7" t="s">
        <v>51</v>
      </c>
      <c r="R45" s="10" t="s">
        <v>291</v>
      </c>
      <c r="S45" s="7" t="s">
        <v>292</v>
      </c>
      <c r="T45" s="11">
        <v>12.6</v>
      </c>
      <c r="U45" s="12">
        <v>0</v>
      </c>
      <c r="V45" s="7" t="s">
        <v>293</v>
      </c>
      <c r="W45" s="12">
        <v>0</v>
      </c>
      <c r="X45" s="5" t="s">
        <v>294</v>
      </c>
      <c r="Y45" s="12">
        <v>397.46</v>
      </c>
      <c r="Z45" s="12">
        <v>113.9</v>
      </c>
      <c r="AA45" s="12">
        <v>108.56</v>
      </c>
      <c r="AB45" s="12">
        <v>175</v>
      </c>
      <c r="AC45" s="12">
        <v>0</v>
      </c>
      <c r="AD45" s="13">
        <v>8</v>
      </c>
      <c r="AE45" s="5"/>
      <c r="AF45" s="5"/>
      <c r="AG45" s="5">
        <v>1</v>
      </c>
      <c r="AH45" s="5">
        <v>1</v>
      </c>
      <c r="AI45" s="7">
        <v>46077.540972222225</v>
      </c>
      <c r="AJ45" s="5" t="s">
        <v>83</v>
      </c>
      <c r="AK45" s="5" t="s">
        <v>196</v>
      </c>
      <c r="AL45" s="7">
        <v>46070.958333333336</v>
      </c>
      <c r="AM45" s="7" t="s">
        <v>56</v>
      </c>
      <c r="AN45" s="7" t="s">
        <v>295</v>
      </c>
      <c r="AO45" s="7" t="s">
        <v>58</v>
      </c>
    </row>
    <row r="46" spans="1:41" x14ac:dyDescent="0.25">
      <c r="A46" s="5" t="s">
        <v>42</v>
      </c>
      <c r="B46" s="6" t="s">
        <v>43</v>
      </c>
      <c r="C46" s="5">
        <v>4</v>
      </c>
      <c r="D46" s="5" t="s">
        <v>44</v>
      </c>
      <c r="E46" s="7" t="s">
        <v>186</v>
      </c>
      <c r="F46" s="5">
        <v>18055</v>
      </c>
      <c r="G46" s="8">
        <v>46070</v>
      </c>
      <c r="H46" s="8">
        <v>46070</v>
      </c>
      <c r="I46" s="8">
        <v>46070</v>
      </c>
      <c r="J46" s="8">
        <v>46070</v>
      </c>
      <c r="K46" s="9" t="s">
        <v>187</v>
      </c>
      <c r="L46" s="7" t="s">
        <v>188</v>
      </c>
      <c r="M46" s="5" t="s">
        <v>189</v>
      </c>
      <c r="N46" s="5" t="s">
        <v>49</v>
      </c>
      <c r="O46" s="5" t="s">
        <v>296</v>
      </c>
      <c r="P46" s="7" t="s">
        <v>51</v>
      </c>
      <c r="Q46" s="7" t="s">
        <v>51</v>
      </c>
      <c r="R46" s="10" t="s">
        <v>297</v>
      </c>
      <c r="S46" s="7" t="s">
        <v>298</v>
      </c>
      <c r="T46" s="11">
        <v>12.3</v>
      </c>
      <c r="U46" s="12">
        <v>0</v>
      </c>
      <c r="V46" s="7" t="s">
        <v>297</v>
      </c>
      <c r="W46" s="12">
        <v>0</v>
      </c>
      <c r="X46" s="5" t="s">
        <v>299</v>
      </c>
      <c r="Y46" s="12">
        <v>420.71</v>
      </c>
      <c r="Z46" s="12">
        <v>111.19</v>
      </c>
      <c r="AA46" s="12">
        <v>106.07</v>
      </c>
      <c r="AB46" s="12">
        <v>203.45</v>
      </c>
      <c r="AC46" s="12">
        <v>0</v>
      </c>
      <c r="AD46" s="13">
        <v>5</v>
      </c>
      <c r="AE46" s="5"/>
      <c r="AF46" s="5"/>
      <c r="AG46" s="5">
        <v>1</v>
      </c>
      <c r="AH46" s="5">
        <v>1</v>
      </c>
      <c r="AI46" s="7">
        <v>46077.542361111111</v>
      </c>
      <c r="AJ46" s="5" t="s">
        <v>83</v>
      </c>
      <c r="AK46" s="5" t="s">
        <v>196</v>
      </c>
      <c r="AL46" s="7">
        <v>46071.726990740739</v>
      </c>
      <c r="AM46" s="7" t="s">
        <v>85</v>
      </c>
      <c r="AN46" s="7" t="s">
        <v>300</v>
      </c>
      <c r="AO46" s="7" t="s">
        <v>58</v>
      </c>
    </row>
    <row r="47" spans="1:41" x14ac:dyDescent="0.25">
      <c r="A47" s="5" t="s">
        <v>42</v>
      </c>
      <c r="B47" s="6" t="s">
        <v>43</v>
      </c>
      <c r="C47" s="5">
        <v>4</v>
      </c>
      <c r="D47" s="5" t="s">
        <v>44</v>
      </c>
      <c r="E47" s="7" t="s">
        <v>74</v>
      </c>
      <c r="F47" s="5">
        <v>18409</v>
      </c>
      <c r="G47" s="8">
        <v>46070</v>
      </c>
      <c r="H47" s="8">
        <v>46070</v>
      </c>
      <c r="I47" s="8">
        <v>46070</v>
      </c>
      <c r="J47" s="8">
        <v>46070</v>
      </c>
      <c r="K47" s="9" t="s">
        <v>301</v>
      </c>
      <c r="L47" s="7" t="s">
        <v>302</v>
      </c>
      <c r="M47" s="5" t="s">
        <v>303</v>
      </c>
      <c r="N47" s="5" t="s">
        <v>49</v>
      </c>
      <c r="O47" s="5" t="s">
        <v>304</v>
      </c>
      <c r="P47" s="7" t="s">
        <v>51</v>
      </c>
      <c r="Q47" s="7" t="s">
        <v>305</v>
      </c>
      <c r="R47" s="10" t="s">
        <v>306</v>
      </c>
      <c r="S47" s="7" t="s">
        <v>307</v>
      </c>
      <c r="T47" s="11">
        <v>18.399999999999999</v>
      </c>
      <c r="U47" s="12">
        <v>0</v>
      </c>
      <c r="V47" s="7" t="s">
        <v>308</v>
      </c>
      <c r="W47" s="12">
        <v>0</v>
      </c>
      <c r="X47" s="5" t="s">
        <v>309</v>
      </c>
      <c r="Y47" s="12">
        <v>328.69</v>
      </c>
      <c r="Z47" s="12">
        <v>166.34</v>
      </c>
      <c r="AA47" s="12">
        <v>162.35</v>
      </c>
      <c r="AB47" s="12">
        <v>0</v>
      </c>
      <c r="AC47" s="12">
        <v>0</v>
      </c>
      <c r="AD47" s="13"/>
      <c r="AE47" s="5"/>
      <c r="AF47" s="5"/>
      <c r="AG47" s="5">
        <v>1</v>
      </c>
      <c r="AH47" s="5">
        <v>1</v>
      </c>
      <c r="AI47" s="7">
        <v>46078.546527777777</v>
      </c>
      <c r="AJ47" s="5" t="s">
        <v>83</v>
      </c>
      <c r="AK47" s="5" t="s">
        <v>310</v>
      </c>
      <c r="AL47" s="7">
        <v>46070.95716435185</v>
      </c>
      <c r="AM47" s="7" t="s">
        <v>56</v>
      </c>
      <c r="AN47" s="7" t="s">
        <v>311</v>
      </c>
      <c r="AO47" s="7" t="s">
        <v>58</v>
      </c>
    </row>
    <row r="48" spans="1:41" x14ac:dyDescent="0.25">
      <c r="A48" s="5" t="s">
        <v>42</v>
      </c>
      <c r="B48" s="6" t="s">
        <v>43</v>
      </c>
      <c r="C48" s="5">
        <v>4</v>
      </c>
      <c r="D48" s="5" t="s">
        <v>44</v>
      </c>
      <c r="E48" s="7" t="s">
        <v>74</v>
      </c>
      <c r="F48" s="5">
        <v>18410</v>
      </c>
      <c r="G48" s="8">
        <v>46070</v>
      </c>
      <c r="H48" s="8">
        <v>46070</v>
      </c>
      <c r="I48" s="8">
        <v>46070</v>
      </c>
      <c r="J48" s="8">
        <v>46070</v>
      </c>
      <c r="K48" s="9" t="s">
        <v>301</v>
      </c>
      <c r="L48" s="7" t="s">
        <v>302</v>
      </c>
      <c r="M48" s="5" t="s">
        <v>303</v>
      </c>
      <c r="N48" s="5" t="s">
        <v>49</v>
      </c>
      <c r="O48" s="5" t="s">
        <v>312</v>
      </c>
      <c r="P48" s="7" t="s">
        <v>51</v>
      </c>
      <c r="Q48" s="7" t="s">
        <v>305</v>
      </c>
      <c r="R48" s="10" t="s">
        <v>313</v>
      </c>
      <c r="S48" s="7" t="s">
        <v>314</v>
      </c>
      <c r="T48" s="11">
        <v>23</v>
      </c>
      <c r="U48" s="12">
        <v>0</v>
      </c>
      <c r="V48" s="7" t="s">
        <v>313</v>
      </c>
      <c r="W48" s="12">
        <v>0</v>
      </c>
      <c r="X48" s="5" t="s">
        <v>315</v>
      </c>
      <c r="Y48" s="12">
        <v>409.97</v>
      </c>
      <c r="Z48" s="12">
        <v>207.92</v>
      </c>
      <c r="AA48" s="12">
        <v>202.05</v>
      </c>
      <c r="AB48" s="12">
        <v>0</v>
      </c>
      <c r="AC48" s="12">
        <v>0</v>
      </c>
      <c r="AD48" s="13"/>
      <c r="AE48" s="5"/>
      <c r="AF48" s="5"/>
      <c r="AG48" s="5">
        <v>1</v>
      </c>
      <c r="AH48" s="5">
        <v>1</v>
      </c>
      <c r="AI48" s="7">
        <v>46078.546527777777</v>
      </c>
      <c r="AJ48" s="5" t="s">
        <v>83</v>
      </c>
      <c r="AK48" s="5" t="s">
        <v>310</v>
      </c>
      <c r="AL48" s="7">
        <v>46071.720081018517</v>
      </c>
      <c r="AM48" s="7" t="s">
        <v>85</v>
      </c>
      <c r="AN48" s="7" t="s">
        <v>311</v>
      </c>
      <c r="AO48" s="7" t="s">
        <v>58</v>
      </c>
    </row>
    <row r="49" spans="1:41" x14ac:dyDescent="0.25">
      <c r="A49" s="5" t="s">
        <v>42</v>
      </c>
      <c r="B49" s="6" t="s">
        <v>43</v>
      </c>
      <c r="C49" s="5">
        <v>4</v>
      </c>
      <c r="D49" s="5" t="s">
        <v>44</v>
      </c>
      <c r="E49" s="7" t="s">
        <v>74</v>
      </c>
      <c r="F49" s="5">
        <v>18442</v>
      </c>
      <c r="G49" s="8">
        <v>46070</v>
      </c>
      <c r="H49" s="8">
        <v>46070</v>
      </c>
      <c r="I49" s="8">
        <v>46070</v>
      </c>
      <c r="J49" s="8">
        <v>46070</v>
      </c>
      <c r="K49" s="9" t="s">
        <v>316</v>
      </c>
      <c r="L49" s="7" t="s">
        <v>317</v>
      </c>
      <c r="M49" s="5" t="s">
        <v>318</v>
      </c>
      <c r="N49" s="5" t="s">
        <v>49</v>
      </c>
      <c r="O49" s="5" t="s">
        <v>78</v>
      </c>
      <c r="P49" s="7" t="s">
        <v>51</v>
      </c>
      <c r="Q49" s="7" t="s">
        <v>51</v>
      </c>
      <c r="R49" s="10" t="s">
        <v>319</v>
      </c>
      <c r="S49" s="7" t="s">
        <v>320</v>
      </c>
      <c r="T49" s="11">
        <v>14.5</v>
      </c>
      <c r="U49" s="12">
        <v>0</v>
      </c>
      <c r="V49" s="7" t="s">
        <v>243</v>
      </c>
      <c r="W49" s="12">
        <v>0</v>
      </c>
      <c r="X49" s="5" t="s">
        <v>321</v>
      </c>
      <c r="Y49" s="12">
        <v>431.11</v>
      </c>
      <c r="Z49" s="12">
        <v>131.08000000000001</v>
      </c>
      <c r="AA49" s="12">
        <v>125.03</v>
      </c>
      <c r="AB49" s="12">
        <v>175</v>
      </c>
      <c r="AC49" s="12">
        <v>0</v>
      </c>
      <c r="AD49" s="13">
        <v>67</v>
      </c>
      <c r="AE49" s="5"/>
      <c r="AF49" s="5"/>
      <c r="AG49" s="5">
        <v>1</v>
      </c>
      <c r="AH49" s="5">
        <v>1</v>
      </c>
      <c r="AI49" s="7">
        <v>46078.486805555556</v>
      </c>
      <c r="AJ49" s="5" t="s">
        <v>83</v>
      </c>
      <c r="AK49" s="5" t="s">
        <v>322</v>
      </c>
      <c r="AL49" s="7">
        <v>46070.958587962959</v>
      </c>
      <c r="AM49" s="7" t="s">
        <v>56</v>
      </c>
      <c r="AN49" s="7" t="s">
        <v>323</v>
      </c>
      <c r="AO49" s="7" t="s">
        <v>58</v>
      </c>
    </row>
    <row r="50" spans="1:41" x14ac:dyDescent="0.25">
      <c r="A50" s="5" t="s">
        <v>42</v>
      </c>
      <c r="B50" s="6" t="s">
        <v>43</v>
      </c>
      <c r="C50" s="5">
        <v>4</v>
      </c>
      <c r="D50" s="5" t="s">
        <v>44</v>
      </c>
      <c r="E50" s="7" t="s">
        <v>74</v>
      </c>
      <c r="F50" s="5">
        <v>18447</v>
      </c>
      <c r="G50" s="8">
        <v>46070</v>
      </c>
      <c r="H50" s="8">
        <v>46070</v>
      </c>
      <c r="I50" s="8">
        <v>46070</v>
      </c>
      <c r="J50" s="8">
        <v>46070</v>
      </c>
      <c r="K50" s="9" t="s">
        <v>316</v>
      </c>
      <c r="L50" s="7" t="s">
        <v>317</v>
      </c>
      <c r="M50" s="5" t="s">
        <v>318</v>
      </c>
      <c r="N50" s="5" t="s">
        <v>49</v>
      </c>
      <c r="O50" s="5" t="s">
        <v>87</v>
      </c>
      <c r="P50" s="7" t="s">
        <v>51</v>
      </c>
      <c r="Q50" s="7" t="s">
        <v>51</v>
      </c>
      <c r="R50" s="10" t="s">
        <v>324</v>
      </c>
      <c r="S50" s="7" t="s">
        <v>325</v>
      </c>
      <c r="T50" s="11">
        <v>12.8</v>
      </c>
      <c r="U50" s="12">
        <v>0</v>
      </c>
      <c r="V50" s="7" t="s">
        <v>326</v>
      </c>
      <c r="W50" s="12">
        <v>0</v>
      </c>
      <c r="X50" s="5" t="s">
        <v>327</v>
      </c>
      <c r="Y50" s="12">
        <v>429.54</v>
      </c>
      <c r="Z50" s="12">
        <v>115.71</v>
      </c>
      <c r="AA50" s="12">
        <v>110.38</v>
      </c>
      <c r="AB50" s="12">
        <v>203.45</v>
      </c>
      <c r="AC50" s="12">
        <v>0</v>
      </c>
      <c r="AD50" s="13">
        <v>26</v>
      </c>
      <c r="AE50" s="5"/>
      <c r="AF50" s="5"/>
      <c r="AG50" s="5">
        <v>1</v>
      </c>
      <c r="AH50" s="5">
        <v>1</v>
      </c>
      <c r="AI50" s="7">
        <v>46078.487500000003</v>
      </c>
      <c r="AJ50" s="5" t="s">
        <v>83</v>
      </c>
      <c r="AK50" s="5" t="s">
        <v>322</v>
      </c>
      <c r="AL50" s="7">
        <v>46071.725983796299</v>
      </c>
      <c r="AM50" s="7" t="s">
        <v>85</v>
      </c>
      <c r="AN50" s="7" t="s">
        <v>323</v>
      </c>
      <c r="AO50" s="7" t="s">
        <v>58</v>
      </c>
    </row>
    <row r="51" spans="1:41" x14ac:dyDescent="0.25">
      <c r="A51" s="5" t="s">
        <v>42</v>
      </c>
      <c r="B51" s="6" t="s">
        <v>43</v>
      </c>
      <c r="C51" s="5">
        <v>4</v>
      </c>
      <c r="D51" s="5" t="s">
        <v>44</v>
      </c>
      <c r="E51" s="7" t="s">
        <v>74</v>
      </c>
      <c r="F51" s="5">
        <v>18495</v>
      </c>
      <c r="G51" s="8">
        <v>46070</v>
      </c>
      <c r="H51" s="8">
        <v>46070</v>
      </c>
      <c r="I51" s="8">
        <v>46070</v>
      </c>
      <c r="J51" s="8">
        <v>46070</v>
      </c>
      <c r="K51" s="9" t="s">
        <v>187</v>
      </c>
      <c r="L51" s="7" t="s">
        <v>188</v>
      </c>
      <c r="M51" s="5" t="s">
        <v>189</v>
      </c>
      <c r="N51" s="5" t="s">
        <v>49</v>
      </c>
      <c r="O51" s="5" t="s">
        <v>328</v>
      </c>
      <c r="P51" s="7" t="s">
        <v>51</v>
      </c>
      <c r="Q51" s="7" t="s">
        <v>51</v>
      </c>
      <c r="R51" s="10" t="s">
        <v>329</v>
      </c>
      <c r="S51" s="7" t="s">
        <v>330</v>
      </c>
      <c r="T51" s="11">
        <v>11.4</v>
      </c>
      <c r="U51" s="12">
        <v>0</v>
      </c>
      <c r="V51" s="7" t="s">
        <v>331</v>
      </c>
      <c r="W51" s="12">
        <v>0</v>
      </c>
      <c r="X51" s="5" t="s">
        <v>332</v>
      </c>
      <c r="Y51" s="12">
        <v>363.91</v>
      </c>
      <c r="Z51" s="12">
        <v>96.73</v>
      </c>
      <c r="AA51" s="12">
        <v>92.18</v>
      </c>
      <c r="AB51" s="12">
        <v>175</v>
      </c>
      <c r="AC51" s="12">
        <v>0</v>
      </c>
      <c r="AD51" s="13">
        <v>7</v>
      </c>
      <c r="AE51" s="5"/>
      <c r="AF51" s="5"/>
      <c r="AG51" s="5">
        <v>1</v>
      </c>
      <c r="AH51" s="5">
        <v>1</v>
      </c>
      <c r="AI51" s="7">
        <v>46077.54791666667</v>
      </c>
      <c r="AJ51" s="5" t="s">
        <v>83</v>
      </c>
      <c r="AK51" s="5" t="s">
        <v>196</v>
      </c>
      <c r="AL51" s="7">
        <v>46070.68309027778</v>
      </c>
      <c r="AM51" s="7" t="s">
        <v>197</v>
      </c>
      <c r="AN51" s="7" t="s">
        <v>333</v>
      </c>
      <c r="AO51" s="7" t="s">
        <v>58</v>
      </c>
    </row>
    <row r="52" spans="1:41" x14ac:dyDescent="0.25">
      <c r="A52" s="5" t="s">
        <v>42</v>
      </c>
      <c r="B52" s="6" t="s">
        <v>43</v>
      </c>
      <c r="C52" s="5">
        <v>4</v>
      </c>
      <c r="D52" s="5" t="s">
        <v>44</v>
      </c>
      <c r="E52" s="7" t="s">
        <v>74</v>
      </c>
      <c r="F52" s="5">
        <v>18496</v>
      </c>
      <c r="G52" s="8">
        <v>46070</v>
      </c>
      <c r="H52" s="8">
        <v>46070</v>
      </c>
      <c r="I52" s="8">
        <v>46070</v>
      </c>
      <c r="J52" s="8">
        <v>46070</v>
      </c>
      <c r="K52" s="9" t="s">
        <v>187</v>
      </c>
      <c r="L52" s="7" t="s">
        <v>188</v>
      </c>
      <c r="M52" s="5" t="s">
        <v>189</v>
      </c>
      <c r="N52" s="5" t="s">
        <v>49</v>
      </c>
      <c r="O52" s="5" t="s">
        <v>334</v>
      </c>
      <c r="P52" s="7" t="s">
        <v>51</v>
      </c>
      <c r="Q52" s="7" t="s">
        <v>51</v>
      </c>
      <c r="R52" s="10" t="s">
        <v>335</v>
      </c>
      <c r="S52" s="7" t="s">
        <v>336</v>
      </c>
      <c r="T52" s="11">
        <v>9</v>
      </c>
      <c r="U52" s="12">
        <v>0</v>
      </c>
      <c r="V52" s="7" t="s">
        <v>335</v>
      </c>
      <c r="W52" s="12">
        <v>0</v>
      </c>
      <c r="X52" s="5" t="s">
        <v>337</v>
      </c>
      <c r="Y52" s="12">
        <v>362.42</v>
      </c>
      <c r="Z52" s="12">
        <v>81.36</v>
      </c>
      <c r="AA52" s="12">
        <v>77.61</v>
      </c>
      <c r="AB52" s="12">
        <v>203.45</v>
      </c>
      <c r="AC52" s="12">
        <v>0</v>
      </c>
      <c r="AD52" s="13">
        <v>9</v>
      </c>
      <c r="AE52" s="5"/>
      <c r="AF52" s="5"/>
      <c r="AG52" s="5">
        <v>1</v>
      </c>
      <c r="AH52" s="5">
        <v>1</v>
      </c>
      <c r="AI52" s="7">
        <v>46077.548611111109</v>
      </c>
      <c r="AJ52" s="5" t="s">
        <v>83</v>
      </c>
      <c r="AK52" s="5" t="s">
        <v>196</v>
      </c>
      <c r="AL52" s="7">
        <v>46071.722662037035</v>
      </c>
      <c r="AM52" s="7" t="s">
        <v>85</v>
      </c>
      <c r="AN52" s="7" t="s">
        <v>338</v>
      </c>
      <c r="AO52" s="7" t="s">
        <v>58</v>
      </c>
    </row>
    <row r="53" spans="1:41" x14ac:dyDescent="0.25">
      <c r="A53" s="5" t="s">
        <v>42</v>
      </c>
      <c r="B53" s="6" t="s">
        <v>43</v>
      </c>
      <c r="C53" s="5">
        <v>4</v>
      </c>
      <c r="D53" s="5" t="s">
        <v>44</v>
      </c>
      <c r="E53" s="7" t="s">
        <v>339</v>
      </c>
      <c r="F53" s="5">
        <v>18659</v>
      </c>
      <c r="G53" s="8">
        <v>46070</v>
      </c>
      <c r="H53" s="8">
        <v>46070</v>
      </c>
      <c r="I53" s="8">
        <v>46070</v>
      </c>
      <c r="J53" s="8">
        <v>46070</v>
      </c>
      <c r="K53" s="9" t="s">
        <v>316</v>
      </c>
      <c r="L53" s="7" t="s">
        <v>317</v>
      </c>
      <c r="M53" s="5" t="s">
        <v>318</v>
      </c>
      <c r="N53" s="5" t="s">
        <v>49</v>
      </c>
      <c r="O53" s="5" t="s">
        <v>78</v>
      </c>
      <c r="P53" s="7" t="s">
        <v>51</v>
      </c>
      <c r="Q53" s="7" t="s">
        <v>51</v>
      </c>
      <c r="R53" s="10" t="s">
        <v>340</v>
      </c>
      <c r="S53" s="7" t="s">
        <v>341</v>
      </c>
      <c r="T53" s="11">
        <v>14.5</v>
      </c>
      <c r="U53" s="12">
        <v>0</v>
      </c>
      <c r="V53" s="7" t="s">
        <v>342</v>
      </c>
      <c r="W53" s="12">
        <v>0</v>
      </c>
      <c r="X53" s="5" t="s">
        <v>343</v>
      </c>
      <c r="Y53" s="12">
        <v>431.11</v>
      </c>
      <c r="Z53" s="12">
        <v>131.08000000000001</v>
      </c>
      <c r="AA53" s="12">
        <v>125.03</v>
      </c>
      <c r="AB53" s="12">
        <v>175</v>
      </c>
      <c r="AC53" s="12">
        <v>0</v>
      </c>
      <c r="AD53" s="13">
        <v>14</v>
      </c>
      <c r="AE53" s="5"/>
      <c r="AF53" s="5"/>
      <c r="AG53" s="5">
        <v>1</v>
      </c>
      <c r="AH53" s="5">
        <v>1</v>
      </c>
      <c r="AI53" s="7">
        <v>46078.488194444442</v>
      </c>
      <c r="AJ53" s="5" t="s">
        <v>83</v>
      </c>
      <c r="AK53" s="5" t="s">
        <v>322</v>
      </c>
      <c r="AL53" s="7">
        <v>46070.958877314813</v>
      </c>
      <c r="AM53" s="7" t="s">
        <v>56</v>
      </c>
      <c r="AN53" s="7" t="s">
        <v>344</v>
      </c>
      <c r="AO53" s="7" t="s">
        <v>58</v>
      </c>
    </row>
    <row r="54" spans="1:41" x14ac:dyDescent="0.25">
      <c r="A54" s="5" t="s">
        <v>42</v>
      </c>
      <c r="B54" s="6" t="s">
        <v>43</v>
      </c>
      <c r="C54" s="5">
        <v>4</v>
      </c>
      <c r="D54" s="5" t="s">
        <v>44</v>
      </c>
      <c r="E54" s="7" t="s">
        <v>339</v>
      </c>
      <c r="F54" s="5">
        <v>18660</v>
      </c>
      <c r="G54" s="8">
        <v>46070</v>
      </c>
      <c r="H54" s="8">
        <v>46070</v>
      </c>
      <c r="I54" s="8">
        <v>46070</v>
      </c>
      <c r="J54" s="8">
        <v>46070</v>
      </c>
      <c r="K54" s="9" t="s">
        <v>316</v>
      </c>
      <c r="L54" s="7" t="s">
        <v>317</v>
      </c>
      <c r="M54" s="5" t="s">
        <v>318</v>
      </c>
      <c r="N54" s="5" t="s">
        <v>49</v>
      </c>
      <c r="O54" s="5" t="s">
        <v>87</v>
      </c>
      <c r="P54" s="7" t="s">
        <v>51</v>
      </c>
      <c r="Q54" s="7" t="s">
        <v>51</v>
      </c>
      <c r="R54" s="10" t="s">
        <v>345</v>
      </c>
      <c r="S54" s="7" t="s">
        <v>346</v>
      </c>
      <c r="T54" s="11">
        <v>12.8</v>
      </c>
      <c r="U54" s="12">
        <v>0</v>
      </c>
      <c r="V54" s="7" t="s">
        <v>347</v>
      </c>
      <c r="W54" s="12">
        <v>0</v>
      </c>
      <c r="X54" s="5" t="s">
        <v>348</v>
      </c>
      <c r="Y54" s="12">
        <v>429.54</v>
      </c>
      <c r="Z54" s="12">
        <v>115.71</v>
      </c>
      <c r="AA54" s="12">
        <v>110.38</v>
      </c>
      <c r="AB54" s="12">
        <v>203.45</v>
      </c>
      <c r="AC54" s="12">
        <v>0</v>
      </c>
      <c r="AD54" s="13"/>
      <c r="AE54" s="5"/>
      <c r="AF54" s="5"/>
      <c r="AG54" s="5">
        <v>1</v>
      </c>
      <c r="AH54" s="5">
        <v>1</v>
      </c>
      <c r="AI54" s="7">
        <v>46078.488888888889</v>
      </c>
      <c r="AJ54" s="5" t="s">
        <v>83</v>
      </c>
      <c r="AK54" s="5" t="s">
        <v>322</v>
      </c>
      <c r="AL54" s="7">
        <v>46071.725775462961</v>
      </c>
      <c r="AM54" s="7" t="s">
        <v>85</v>
      </c>
      <c r="AN54" s="7" t="s">
        <v>344</v>
      </c>
      <c r="AO54" s="7" t="s">
        <v>58</v>
      </c>
    </row>
    <row r="55" spans="1:41" x14ac:dyDescent="0.25">
      <c r="A55" s="5" t="s">
        <v>42</v>
      </c>
      <c r="B55" s="6" t="s">
        <v>43</v>
      </c>
      <c r="C55" s="5">
        <v>4</v>
      </c>
      <c r="D55" s="5" t="s">
        <v>44</v>
      </c>
      <c r="E55" s="7" t="s">
        <v>339</v>
      </c>
      <c r="F55" s="5">
        <v>18708</v>
      </c>
      <c r="G55" s="8">
        <v>46070</v>
      </c>
      <c r="H55" s="8">
        <v>46070</v>
      </c>
      <c r="I55" s="8">
        <v>46070</v>
      </c>
      <c r="J55" s="8">
        <v>46070</v>
      </c>
      <c r="K55" s="9" t="s">
        <v>187</v>
      </c>
      <c r="L55" s="7" t="s">
        <v>188</v>
      </c>
      <c r="M55" s="5" t="s">
        <v>189</v>
      </c>
      <c r="N55" s="5" t="s">
        <v>49</v>
      </c>
      <c r="O55" s="5" t="s">
        <v>349</v>
      </c>
      <c r="P55" s="7" t="s">
        <v>51</v>
      </c>
      <c r="Q55" s="7" t="s">
        <v>51</v>
      </c>
      <c r="R55" s="10" t="s">
        <v>350</v>
      </c>
      <c r="S55" s="7" t="s">
        <v>351</v>
      </c>
      <c r="T55" s="11">
        <v>10.9</v>
      </c>
      <c r="U55" s="12">
        <v>0</v>
      </c>
      <c r="V55" s="7" t="s">
        <v>352</v>
      </c>
      <c r="W55" s="12">
        <v>0</v>
      </c>
      <c r="X55" s="5" t="s">
        <v>353</v>
      </c>
      <c r="Y55" s="12">
        <v>192.53</v>
      </c>
      <c r="Z55" s="12">
        <v>98.54</v>
      </c>
      <c r="AA55" s="12">
        <v>93.99</v>
      </c>
      <c r="AB55" s="12">
        <v>0</v>
      </c>
      <c r="AC55" s="12">
        <v>0</v>
      </c>
      <c r="AD55" s="13">
        <v>5</v>
      </c>
      <c r="AE55" s="5"/>
      <c r="AF55" s="5"/>
      <c r="AG55" s="5">
        <v>1</v>
      </c>
      <c r="AH55" s="5">
        <v>1</v>
      </c>
      <c r="AI55" s="7">
        <v>46077.777083333334</v>
      </c>
      <c r="AJ55" s="5" t="s">
        <v>83</v>
      </c>
      <c r="AK55" s="5" t="s">
        <v>196</v>
      </c>
      <c r="AL55" s="7">
        <v>46071.284409722219</v>
      </c>
      <c r="AM55" s="7" t="s">
        <v>56</v>
      </c>
      <c r="AN55" s="7" t="s">
        <v>354</v>
      </c>
      <c r="AO55" s="7" t="s">
        <v>58</v>
      </c>
    </row>
    <row r="56" spans="1:41" x14ac:dyDescent="0.25">
      <c r="A56" s="5" t="s">
        <v>42</v>
      </c>
      <c r="B56" s="6" t="s">
        <v>43</v>
      </c>
      <c r="C56" s="5">
        <v>4</v>
      </c>
      <c r="D56" s="5" t="s">
        <v>44</v>
      </c>
      <c r="E56" s="7" t="s">
        <v>339</v>
      </c>
      <c r="F56" s="5">
        <v>18709</v>
      </c>
      <c r="G56" s="8">
        <v>46070</v>
      </c>
      <c r="H56" s="8">
        <v>46070</v>
      </c>
      <c r="I56" s="8">
        <v>46070</v>
      </c>
      <c r="J56" s="8">
        <v>46070</v>
      </c>
      <c r="K56" s="9" t="s">
        <v>187</v>
      </c>
      <c r="L56" s="7" t="s">
        <v>188</v>
      </c>
      <c r="M56" s="5" t="s">
        <v>189</v>
      </c>
      <c r="N56" s="5" t="s">
        <v>49</v>
      </c>
      <c r="O56" s="5" t="s">
        <v>355</v>
      </c>
      <c r="P56" s="7" t="s">
        <v>51</v>
      </c>
      <c r="Q56" s="7" t="s">
        <v>51</v>
      </c>
      <c r="R56" s="10" t="s">
        <v>356</v>
      </c>
      <c r="S56" s="7" t="s">
        <v>357</v>
      </c>
      <c r="T56" s="11">
        <v>10.199999999999999</v>
      </c>
      <c r="U56" s="12">
        <v>0</v>
      </c>
      <c r="V56" s="7" t="s">
        <v>356</v>
      </c>
      <c r="W56" s="12">
        <v>0</v>
      </c>
      <c r="X56" s="5" t="s">
        <v>358</v>
      </c>
      <c r="Y56" s="12">
        <v>211.96</v>
      </c>
      <c r="Z56" s="12">
        <v>108.48</v>
      </c>
      <c r="AA56" s="12">
        <v>103.48</v>
      </c>
      <c r="AB56" s="12">
        <v>0</v>
      </c>
      <c r="AC56" s="12">
        <v>0</v>
      </c>
      <c r="AD56" s="13">
        <v>6</v>
      </c>
      <c r="AE56" s="5"/>
      <c r="AF56" s="5"/>
      <c r="AG56" s="5">
        <v>1</v>
      </c>
      <c r="AH56" s="5">
        <v>1</v>
      </c>
      <c r="AI56" s="7">
        <v>46077.777777777781</v>
      </c>
      <c r="AJ56" s="5" t="s">
        <v>83</v>
      </c>
      <c r="AK56" s="5" t="s">
        <v>196</v>
      </c>
      <c r="AL56" s="7">
        <v>46071.765810185185</v>
      </c>
      <c r="AM56" s="7" t="s">
        <v>85</v>
      </c>
      <c r="AN56" s="7" t="s">
        <v>359</v>
      </c>
      <c r="AO56" s="7" t="s">
        <v>58</v>
      </c>
    </row>
    <row r="57" spans="1:41" x14ac:dyDescent="0.25">
      <c r="A57" s="5" t="s">
        <v>42</v>
      </c>
      <c r="B57" s="6" t="s">
        <v>43</v>
      </c>
      <c r="C57" s="5">
        <v>4</v>
      </c>
      <c r="D57" s="5" t="s">
        <v>44</v>
      </c>
      <c r="E57" s="7" t="s">
        <v>339</v>
      </c>
      <c r="F57" s="5">
        <v>18764</v>
      </c>
      <c r="G57" s="8">
        <v>46070</v>
      </c>
      <c r="H57" s="8">
        <v>46070</v>
      </c>
      <c r="I57" s="8">
        <v>46070</v>
      </c>
      <c r="J57" s="8">
        <v>46070</v>
      </c>
      <c r="K57" s="9" t="s">
        <v>187</v>
      </c>
      <c r="L57" s="7" t="s">
        <v>188</v>
      </c>
      <c r="M57" s="5" t="s">
        <v>189</v>
      </c>
      <c r="N57" s="5" t="s">
        <v>49</v>
      </c>
      <c r="O57" s="5" t="s">
        <v>360</v>
      </c>
      <c r="P57" s="7" t="s">
        <v>51</v>
      </c>
      <c r="Q57" s="7" t="s">
        <v>51</v>
      </c>
      <c r="R57" s="10" t="s">
        <v>361</v>
      </c>
      <c r="S57" s="7" t="s">
        <v>362</v>
      </c>
      <c r="T57" s="11">
        <v>22.4</v>
      </c>
      <c r="U57" s="12">
        <v>0</v>
      </c>
      <c r="V57" s="7" t="s">
        <v>363</v>
      </c>
      <c r="W57" s="12">
        <v>0</v>
      </c>
      <c r="X57" s="5" t="s">
        <v>364</v>
      </c>
      <c r="Y57" s="12">
        <v>570.57000000000005</v>
      </c>
      <c r="Z57" s="12">
        <v>202.5</v>
      </c>
      <c r="AA57" s="12">
        <v>193.07</v>
      </c>
      <c r="AB57" s="12">
        <v>175</v>
      </c>
      <c r="AC57" s="12">
        <v>0</v>
      </c>
      <c r="AD57" s="13">
        <v>9</v>
      </c>
      <c r="AE57" s="5"/>
      <c r="AF57" s="5"/>
      <c r="AG57" s="5">
        <v>1</v>
      </c>
      <c r="AH57" s="5">
        <v>1</v>
      </c>
      <c r="AI57" s="7">
        <v>46078.527777777781</v>
      </c>
      <c r="AJ57" s="5" t="s">
        <v>83</v>
      </c>
      <c r="AK57" s="5" t="s">
        <v>196</v>
      </c>
      <c r="AL57" s="7">
        <v>46071.930752314816</v>
      </c>
      <c r="AM57" s="7" t="s">
        <v>56</v>
      </c>
      <c r="AN57" s="7" t="s">
        <v>365</v>
      </c>
      <c r="AO57" s="7" t="s">
        <v>58</v>
      </c>
    </row>
    <row r="58" spans="1:41" x14ac:dyDescent="0.25">
      <c r="A58" s="5" t="s">
        <v>42</v>
      </c>
      <c r="B58" s="6" t="s">
        <v>43</v>
      </c>
      <c r="C58" s="5">
        <v>4</v>
      </c>
      <c r="D58" s="5" t="s">
        <v>44</v>
      </c>
      <c r="E58" s="7" t="s">
        <v>339</v>
      </c>
      <c r="F58" s="5">
        <v>18765</v>
      </c>
      <c r="G58" s="8">
        <v>46070</v>
      </c>
      <c r="H58" s="8">
        <v>46070</v>
      </c>
      <c r="I58" s="8">
        <v>46070</v>
      </c>
      <c r="J58" s="8">
        <v>46070</v>
      </c>
      <c r="K58" s="9" t="s">
        <v>187</v>
      </c>
      <c r="L58" s="7" t="s">
        <v>188</v>
      </c>
      <c r="M58" s="5" t="s">
        <v>189</v>
      </c>
      <c r="N58" s="5" t="s">
        <v>49</v>
      </c>
      <c r="O58" s="5" t="s">
        <v>366</v>
      </c>
      <c r="P58" s="7" t="s">
        <v>51</v>
      </c>
      <c r="Q58" s="7" t="s">
        <v>51</v>
      </c>
      <c r="R58" s="10" t="s">
        <v>367</v>
      </c>
      <c r="S58" s="7" t="s">
        <v>368</v>
      </c>
      <c r="T58" s="11">
        <v>21</v>
      </c>
      <c r="U58" s="12">
        <v>0</v>
      </c>
      <c r="V58" s="7" t="s">
        <v>369</v>
      </c>
      <c r="W58" s="12">
        <v>0</v>
      </c>
      <c r="X58" s="5" t="s">
        <v>370</v>
      </c>
      <c r="Y58" s="12">
        <v>676.96</v>
      </c>
      <c r="Z58" s="12">
        <v>189.84</v>
      </c>
      <c r="AA58" s="12">
        <v>181.09</v>
      </c>
      <c r="AB58" s="12">
        <v>306.02999999999997</v>
      </c>
      <c r="AC58" s="12">
        <v>0</v>
      </c>
      <c r="AD58" s="13">
        <v>14</v>
      </c>
      <c r="AE58" s="5"/>
      <c r="AF58" s="5"/>
      <c r="AG58" s="5">
        <v>1</v>
      </c>
      <c r="AH58" s="5">
        <v>1</v>
      </c>
      <c r="AI58" s="7">
        <v>46078.52847222222</v>
      </c>
      <c r="AJ58" s="5" t="s">
        <v>83</v>
      </c>
      <c r="AK58" s="5" t="s">
        <v>196</v>
      </c>
      <c r="AL58" s="7">
        <v>46071.724976851852</v>
      </c>
      <c r="AM58" s="7" t="s">
        <v>85</v>
      </c>
      <c r="AN58" s="7" t="s">
        <v>371</v>
      </c>
      <c r="AO58" s="7" t="s">
        <v>58</v>
      </c>
    </row>
    <row r="59" spans="1:41" x14ac:dyDescent="0.25">
      <c r="A59" s="5" t="s">
        <v>42</v>
      </c>
      <c r="B59" s="6" t="s">
        <v>43</v>
      </c>
      <c r="C59" s="5">
        <v>4</v>
      </c>
      <c r="D59" s="5" t="s">
        <v>44</v>
      </c>
      <c r="E59" s="7" t="s">
        <v>339</v>
      </c>
      <c r="F59" s="5">
        <v>18801</v>
      </c>
      <c r="G59" s="8">
        <v>46070</v>
      </c>
      <c r="H59" s="8">
        <v>46070</v>
      </c>
      <c r="I59" s="8">
        <v>46070</v>
      </c>
      <c r="J59" s="8">
        <v>46070</v>
      </c>
      <c r="K59" s="9" t="s">
        <v>108</v>
      </c>
      <c r="L59" s="7" t="s">
        <v>109</v>
      </c>
      <c r="M59" s="5" t="s">
        <v>110</v>
      </c>
      <c r="N59" s="5" t="s">
        <v>49</v>
      </c>
      <c r="O59" s="5" t="s">
        <v>78</v>
      </c>
      <c r="P59" s="7" t="s">
        <v>51</v>
      </c>
      <c r="Q59" s="7" t="s">
        <v>51</v>
      </c>
      <c r="R59" s="10" t="s">
        <v>372</v>
      </c>
      <c r="S59" s="7" t="s">
        <v>373</v>
      </c>
      <c r="T59" s="11">
        <v>14.5</v>
      </c>
      <c r="U59" s="12">
        <v>0</v>
      </c>
      <c r="V59" s="7" t="s">
        <v>374</v>
      </c>
      <c r="W59" s="12">
        <v>0</v>
      </c>
      <c r="X59" s="5" t="s">
        <v>375</v>
      </c>
      <c r="Y59" s="12">
        <v>431.11</v>
      </c>
      <c r="Z59" s="12">
        <v>131.08000000000001</v>
      </c>
      <c r="AA59" s="12">
        <v>125.03</v>
      </c>
      <c r="AB59" s="12">
        <v>175</v>
      </c>
      <c r="AC59" s="12">
        <v>0</v>
      </c>
      <c r="AD59" s="13">
        <v>54</v>
      </c>
      <c r="AE59" s="5"/>
      <c r="AF59" s="5"/>
      <c r="AG59" s="5">
        <v>1</v>
      </c>
      <c r="AH59" s="5">
        <v>1</v>
      </c>
      <c r="AI59" s="7">
        <v>46077.722916666666</v>
      </c>
      <c r="AJ59" s="5" t="s">
        <v>83</v>
      </c>
      <c r="AK59" s="5" t="s">
        <v>376</v>
      </c>
      <c r="AL59" s="7">
        <v>46071.933715277781</v>
      </c>
      <c r="AM59" s="7" t="s">
        <v>56</v>
      </c>
      <c r="AN59" s="7" t="s">
        <v>377</v>
      </c>
      <c r="AO59" s="7" t="s">
        <v>58</v>
      </c>
    </row>
    <row r="60" spans="1:41" x14ac:dyDescent="0.25">
      <c r="A60" s="5" t="s">
        <v>42</v>
      </c>
      <c r="B60" s="6" t="s">
        <v>43</v>
      </c>
      <c r="C60" s="5">
        <v>4</v>
      </c>
      <c r="D60" s="5" t="s">
        <v>44</v>
      </c>
      <c r="E60" s="7" t="s">
        <v>339</v>
      </c>
      <c r="F60" s="5">
        <v>18803</v>
      </c>
      <c r="G60" s="8">
        <v>46070</v>
      </c>
      <c r="H60" s="8">
        <v>46070</v>
      </c>
      <c r="I60" s="8">
        <v>46070</v>
      </c>
      <c r="J60" s="8">
        <v>46070</v>
      </c>
      <c r="K60" s="9" t="s">
        <v>108</v>
      </c>
      <c r="L60" s="7" t="s">
        <v>109</v>
      </c>
      <c r="M60" s="5" t="s">
        <v>110</v>
      </c>
      <c r="N60" s="5" t="s">
        <v>49</v>
      </c>
      <c r="O60" s="5" t="s">
        <v>87</v>
      </c>
      <c r="P60" s="7" t="s">
        <v>51</v>
      </c>
      <c r="Q60" s="7" t="s">
        <v>51</v>
      </c>
      <c r="R60" s="10" t="s">
        <v>378</v>
      </c>
      <c r="S60" s="7" t="s">
        <v>379</v>
      </c>
      <c r="T60" s="11">
        <v>12.8</v>
      </c>
      <c r="U60" s="12">
        <v>0</v>
      </c>
      <c r="V60" s="7" t="s">
        <v>380</v>
      </c>
      <c r="W60" s="12">
        <v>0</v>
      </c>
      <c r="X60" s="5" t="s">
        <v>381</v>
      </c>
      <c r="Y60" s="12">
        <v>429.54</v>
      </c>
      <c r="Z60" s="12">
        <v>115.71</v>
      </c>
      <c r="AA60" s="12">
        <v>110.38</v>
      </c>
      <c r="AB60" s="12">
        <v>203.45</v>
      </c>
      <c r="AC60" s="12">
        <v>0</v>
      </c>
      <c r="AD60" s="13">
        <v>97</v>
      </c>
      <c r="AE60" s="5"/>
      <c r="AF60" s="5"/>
      <c r="AG60" s="5">
        <v>1</v>
      </c>
      <c r="AH60" s="5">
        <v>1</v>
      </c>
      <c r="AI60" s="7">
        <v>46077.722222222219</v>
      </c>
      <c r="AJ60" s="5" t="s">
        <v>83</v>
      </c>
      <c r="AK60" s="5" t="s">
        <v>376</v>
      </c>
      <c r="AL60" s="7">
        <v>46071.763981481483</v>
      </c>
      <c r="AM60" s="7" t="s">
        <v>85</v>
      </c>
      <c r="AN60" s="7" t="s">
        <v>377</v>
      </c>
      <c r="AO60" s="7" t="s">
        <v>58</v>
      </c>
    </row>
    <row r="61" spans="1:41" x14ac:dyDescent="0.25">
      <c r="A61" s="5" t="s">
        <v>42</v>
      </c>
      <c r="B61" s="6" t="s">
        <v>43</v>
      </c>
      <c r="C61" s="5">
        <v>4</v>
      </c>
      <c r="D61" s="5" t="s">
        <v>44</v>
      </c>
      <c r="E61" s="7" t="s">
        <v>339</v>
      </c>
      <c r="F61" s="5">
        <v>18821</v>
      </c>
      <c r="G61" s="8">
        <v>46070</v>
      </c>
      <c r="H61" s="8">
        <v>46070</v>
      </c>
      <c r="I61" s="8">
        <v>46070</v>
      </c>
      <c r="J61" s="8">
        <v>46070</v>
      </c>
      <c r="K61" s="9" t="s">
        <v>108</v>
      </c>
      <c r="L61" s="7" t="s">
        <v>109</v>
      </c>
      <c r="M61" s="5" t="s">
        <v>110</v>
      </c>
      <c r="N61" s="5" t="s">
        <v>49</v>
      </c>
      <c r="O61" s="5" t="s">
        <v>382</v>
      </c>
      <c r="P61" s="7" t="s">
        <v>51</v>
      </c>
      <c r="Q61" s="7" t="s">
        <v>51</v>
      </c>
      <c r="R61" s="10" t="s">
        <v>383</v>
      </c>
      <c r="S61" s="7" t="s">
        <v>384</v>
      </c>
      <c r="T61" s="11">
        <v>14.2</v>
      </c>
      <c r="U61" s="12">
        <v>0</v>
      </c>
      <c r="V61" s="7" t="s">
        <v>385</v>
      </c>
      <c r="W61" s="12">
        <v>0</v>
      </c>
      <c r="X61" s="5" t="s">
        <v>386</v>
      </c>
      <c r="Y61" s="12">
        <v>425.73</v>
      </c>
      <c r="Z61" s="12">
        <v>128.37</v>
      </c>
      <c r="AA61" s="12">
        <v>122.36</v>
      </c>
      <c r="AB61" s="12">
        <v>175</v>
      </c>
      <c r="AC61" s="12">
        <v>0</v>
      </c>
      <c r="AD61" s="13">
        <v>50</v>
      </c>
      <c r="AE61" s="5"/>
      <c r="AF61" s="5"/>
      <c r="AG61" s="5">
        <v>1</v>
      </c>
      <c r="AH61" s="5">
        <v>1</v>
      </c>
      <c r="AI61" s="7">
        <v>46077.722916666666</v>
      </c>
      <c r="AJ61" s="5" t="s">
        <v>83</v>
      </c>
      <c r="AK61" s="5" t="s">
        <v>376</v>
      </c>
      <c r="AL61" s="7">
        <v>46071.931898148148</v>
      </c>
      <c r="AM61" s="7" t="s">
        <v>56</v>
      </c>
      <c r="AN61" s="7" t="s">
        <v>387</v>
      </c>
      <c r="AO61" s="7" t="s">
        <v>58</v>
      </c>
    </row>
    <row r="62" spans="1:41" x14ac:dyDescent="0.25">
      <c r="A62" s="5" t="s">
        <v>42</v>
      </c>
      <c r="B62" s="6" t="s">
        <v>43</v>
      </c>
      <c r="C62" s="5">
        <v>4</v>
      </c>
      <c r="D62" s="5" t="s">
        <v>44</v>
      </c>
      <c r="E62" s="7" t="s">
        <v>339</v>
      </c>
      <c r="F62" s="5">
        <v>18822</v>
      </c>
      <c r="G62" s="8">
        <v>46070</v>
      </c>
      <c r="H62" s="8">
        <v>46070</v>
      </c>
      <c r="I62" s="8">
        <v>46070</v>
      </c>
      <c r="J62" s="8">
        <v>46070</v>
      </c>
      <c r="K62" s="9" t="s">
        <v>108</v>
      </c>
      <c r="L62" s="7" t="s">
        <v>109</v>
      </c>
      <c r="M62" s="5" t="s">
        <v>110</v>
      </c>
      <c r="N62" s="5" t="s">
        <v>49</v>
      </c>
      <c r="O62" s="5" t="s">
        <v>388</v>
      </c>
      <c r="P62" s="7" t="s">
        <v>51</v>
      </c>
      <c r="Q62" s="7" t="s">
        <v>51</v>
      </c>
      <c r="R62" s="10" t="s">
        <v>389</v>
      </c>
      <c r="S62" s="7" t="s">
        <v>390</v>
      </c>
      <c r="T62" s="11">
        <v>12.9</v>
      </c>
      <c r="U62" s="12">
        <v>0</v>
      </c>
      <c r="V62" s="7" t="s">
        <v>391</v>
      </c>
      <c r="W62" s="12">
        <v>0</v>
      </c>
      <c r="X62" s="5" t="s">
        <v>392</v>
      </c>
      <c r="Y62" s="12">
        <v>431.31</v>
      </c>
      <c r="Z62" s="12">
        <v>116.62</v>
      </c>
      <c r="AA62" s="12">
        <v>111.24</v>
      </c>
      <c r="AB62" s="12">
        <v>203.45</v>
      </c>
      <c r="AC62" s="12">
        <v>0</v>
      </c>
      <c r="AD62" s="13">
        <v>70</v>
      </c>
      <c r="AE62" s="5"/>
      <c r="AF62" s="5"/>
      <c r="AG62" s="5">
        <v>1</v>
      </c>
      <c r="AH62" s="5">
        <v>1</v>
      </c>
      <c r="AI62" s="7">
        <v>46077.723611111112</v>
      </c>
      <c r="AJ62" s="5" t="s">
        <v>83</v>
      </c>
      <c r="AK62" s="5" t="s">
        <v>376</v>
      </c>
      <c r="AL62" s="7">
        <v>46071.764166666668</v>
      </c>
      <c r="AM62" s="7" t="s">
        <v>85</v>
      </c>
      <c r="AN62" s="7" t="s">
        <v>393</v>
      </c>
      <c r="AO62" s="7" t="s">
        <v>58</v>
      </c>
    </row>
    <row r="63" spans="1:41" x14ac:dyDescent="0.25">
      <c r="A63" s="5" t="s">
        <v>42</v>
      </c>
      <c r="B63" s="6" t="s">
        <v>43</v>
      </c>
      <c r="C63" s="5">
        <v>4</v>
      </c>
      <c r="D63" s="5" t="s">
        <v>44</v>
      </c>
      <c r="E63" s="7" t="s">
        <v>45</v>
      </c>
      <c r="F63" s="5">
        <v>19367</v>
      </c>
      <c r="G63" s="8">
        <v>46070</v>
      </c>
      <c r="H63" s="8">
        <v>46070</v>
      </c>
      <c r="I63" s="8">
        <v>46070</v>
      </c>
      <c r="J63" s="8">
        <v>46070</v>
      </c>
      <c r="K63" s="9" t="s">
        <v>46</v>
      </c>
      <c r="L63" s="7" t="s">
        <v>47</v>
      </c>
      <c r="M63" s="5" t="s">
        <v>48</v>
      </c>
      <c r="N63" s="5" t="s">
        <v>49</v>
      </c>
      <c r="O63" s="5" t="s">
        <v>394</v>
      </c>
      <c r="P63" s="7" t="s">
        <v>395</v>
      </c>
      <c r="Q63" s="7" t="s">
        <v>51</v>
      </c>
      <c r="R63" s="10" t="s">
        <v>396</v>
      </c>
      <c r="S63" s="7" t="s">
        <v>397</v>
      </c>
      <c r="T63" s="11">
        <v>8.59</v>
      </c>
      <c r="U63" s="12">
        <v>0</v>
      </c>
      <c r="V63" s="7" t="s">
        <v>54</v>
      </c>
      <c r="W63" s="12">
        <v>0</v>
      </c>
      <c r="X63" s="5" t="s">
        <v>398</v>
      </c>
      <c r="Y63" s="12">
        <v>69.72</v>
      </c>
      <c r="Z63" s="12">
        <v>0.09</v>
      </c>
      <c r="AA63" s="12">
        <v>69.63</v>
      </c>
      <c r="AB63" s="12">
        <v>0</v>
      </c>
      <c r="AC63" s="12">
        <v>0</v>
      </c>
      <c r="AD63" s="13"/>
      <c r="AE63" s="5"/>
      <c r="AF63" s="5"/>
      <c r="AG63" s="5">
        <v>1</v>
      </c>
      <c r="AH63" s="5">
        <v>1</v>
      </c>
      <c r="AI63" s="7">
        <v>46078.686805555553</v>
      </c>
      <c r="AJ63" s="5" t="s">
        <v>83</v>
      </c>
      <c r="AK63" s="5" t="s">
        <v>147</v>
      </c>
      <c r="AL63" s="7">
        <v>46072.590844907405</v>
      </c>
      <c r="AM63" s="7" t="s">
        <v>85</v>
      </c>
      <c r="AN63" s="7" t="s">
        <v>399</v>
      </c>
      <c r="AO63" s="7" t="s">
        <v>58</v>
      </c>
    </row>
    <row r="64" spans="1:41" x14ac:dyDescent="0.25">
      <c r="A64" s="5" t="s">
        <v>42</v>
      </c>
      <c r="B64" s="6" t="s">
        <v>43</v>
      </c>
      <c r="C64" s="5">
        <v>4</v>
      </c>
      <c r="D64" s="5" t="s">
        <v>44</v>
      </c>
      <c r="E64" s="7" t="s">
        <v>45</v>
      </c>
      <c r="F64" s="5">
        <v>19369</v>
      </c>
      <c r="G64" s="8">
        <v>46070</v>
      </c>
      <c r="H64" s="8">
        <v>46070</v>
      </c>
      <c r="I64" s="8">
        <v>46070</v>
      </c>
      <c r="J64" s="8">
        <v>46070</v>
      </c>
      <c r="K64" s="9" t="s">
        <v>46</v>
      </c>
      <c r="L64" s="7" t="s">
        <v>47</v>
      </c>
      <c r="M64" s="5" t="s">
        <v>48</v>
      </c>
      <c r="N64" s="5" t="s">
        <v>49</v>
      </c>
      <c r="O64" s="5" t="s">
        <v>400</v>
      </c>
      <c r="P64" s="7" t="s">
        <v>51</v>
      </c>
      <c r="Q64" s="7" t="s">
        <v>395</v>
      </c>
      <c r="R64" s="10" t="s">
        <v>401</v>
      </c>
      <c r="S64" s="7" t="s">
        <v>402</v>
      </c>
      <c r="T64" s="11">
        <v>6.9</v>
      </c>
      <c r="U64" s="12">
        <v>0</v>
      </c>
      <c r="V64" s="7" t="s">
        <v>403</v>
      </c>
      <c r="W64" s="12">
        <v>0</v>
      </c>
      <c r="X64" s="5" t="s">
        <v>404</v>
      </c>
      <c r="Y64" s="12">
        <v>56</v>
      </c>
      <c r="Z64" s="12">
        <v>7.0000000000000007E-2</v>
      </c>
      <c r="AA64" s="12">
        <v>55.93</v>
      </c>
      <c r="AB64" s="12">
        <v>0</v>
      </c>
      <c r="AC64" s="12">
        <v>0</v>
      </c>
      <c r="AD64" s="13"/>
      <c r="AE64" s="5"/>
      <c r="AF64" s="5"/>
      <c r="AG64" s="5">
        <v>1</v>
      </c>
      <c r="AH64" s="5">
        <v>1</v>
      </c>
      <c r="AI64" s="7">
        <v>46078.686805555553</v>
      </c>
      <c r="AJ64" s="5" t="s">
        <v>83</v>
      </c>
      <c r="AK64" s="5" t="s">
        <v>147</v>
      </c>
      <c r="AL64" s="7">
        <v>46072.972916666666</v>
      </c>
      <c r="AM64" s="7" t="s">
        <v>56</v>
      </c>
      <c r="AN64" s="7" t="s">
        <v>399</v>
      </c>
      <c r="AO64" s="7" t="s">
        <v>58</v>
      </c>
    </row>
    <row r="65" spans="1:41" x14ac:dyDescent="0.25">
      <c r="A65" s="5" t="s">
        <v>42</v>
      </c>
      <c r="B65" s="6" t="s">
        <v>43</v>
      </c>
      <c r="C65" s="5">
        <v>4</v>
      </c>
      <c r="D65" s="5" t="s">
        <v>44</v>
      </c>
      <c r="E65" s="7" t="s">
        <v>45</v>
      </c>
      <c r="F65" s="5">
        <v>19370</v>
      </c>
      <c r="G65" s="8">
        <v>46070</v>
      </c>
      <c r="H65" s="8">
        <v>46070</v>
      </c>
      <c r="I65" s="8">
        <v>46070</v>
      </c>
      <c r="J65" s="8">
        <v>46070</v>
      </c>
      <c r="K65" s="9" t="s">
        <v>46</v>
      </c>
      <c r="L65" s="7" t="s">
        <v>47</v>
      </c>
      <c r="M65" s="5" t="s">
        <v>48</v>
      </c>
      <c r="N65" s="5" t="s">
        <v>49</v>
      </c>
      <c r="O65" s="5" t="s">
        <v>394</v>
      </c>
      <c r="P65" s="7" t="s">
        <v>395</v>
      </c>
      <c r="Q65" s="7" t="s">
        <v>51</v>
      </c>
      <c r="R65" s="10" t="s">
        <v>405</v>
      </c>
      <c r="S65" s="7" t="s">
        <v>406</v>
      </c>
      <c r="T65" s="11">
        <v>8.59</v>
      </c>
      <c r="U65" s="12">
        <v>0</v>
      </c>
      <c r="V65" s="7" t="s">
        <v>54</v>
      </c>
      <c r="W65" s="12">
        <v>0</v>
      </c>
      <c r="X65" s="5" t="s">
        <v>407</v>
      </c>
      <c r="Y65" s="12">
        <v>69.72</v>
      </c>
      <c r="Z65" s="12">
        <v>0.09</v>
      </c>
      <c r="AA65" s="12">
        <v>69.63</v>
      </c>
      <c r="AB65" s="12">
        <v>0</v>
      </c>
      <c r="AC65" s="12">
        <v>0</v>
      </c>
      <c r="AD65" s="13"/>
      <c r="AE65" s="5"/>
      <c r="AF65" s="5"/>
      <c r="AG65" s="5">
        <v>1</v>
      </c>
      <c r="AH65" s="5">
        <v>1</v>
      </c>
      <c r="AI65" s="7">
        <v>46078.6875</v>
      </c>
      <c r="AJ65" s="5" t="s">
        <v>83</v>
      </c>
      <c r="AK65" s="5" t="s">
        <v>147</v>
      </c>
      <c r="AL65" s="7">
        <v>46072.59170138889</v>
      </c>
      <c r="AM65" s="7" t="s">
        <v>85</v>
      </c>
      <c r="AN65" s="7" t="s">
        <v>408</v>
      </c>
      <c r="AO65" s="7" t="s">
        <v>58</v>
      </c>
    </row>
    <row r="66" spans="1:41" x14ac:dyDescent="0.25">
      <c r="A66" s="5" t="s">
        <v>42</v>
      </c>
      <c r="B66" s="6" t="s">
        <v>43</v>
      </c>
      <c r="C66" s="5">
        <v>4</v>
      </c>
      <c r="D66" s="5" t="s">
        <v>44</v>
      </c>
      <c r="E66" s="7" t="s">
        <v>45</v>
      </c>
      <c r="F66" s="5">
        <v>19372</v>
      </c>
      <c r="G66" s="8">
        <v>46070</v>
      </c>
      <c r="H66" s="8">
        <v>46070</v>
      </c>
      <c r="I66" s="8">
        <v>46070</v>
      </c>
      <c r="J66" s="8">
        <v>46070</v>
      </c>
      <c r="K66" s="9" t="s">
        <v>46</v>
      </c>
      <c r="L66" s="7" t="s">
        <v>47</v>
      </c>
      <c r="M66" s="5" t="s">
        <v>48</v>
      </c>
      <c r="N66" s="5" t="s">
        <v>49</v>
      </c>
      <c r="O66" s="5" t="s">
        <v>400</v>
      </c>
      <c r="P66" s="7" t="s">
        <v>51</v>
      </c>
      <c r="Q66" s="7" t="s">
        <v>395</v>
      </c>
      <c r="R66" s="10" t="s">
        <v>409</v>
      </c>
      <c r="S66" s="7" t="s">
        <v>410</v>
      </c>
      <c r="T66" s="11">
        <v>6.9</v>
      </c>
      <c r="U66" s="12">
        <v>0</v>
      </c>
      <c r="V66" s="7" t="s">
        <v>411</v>
      </c>
      <c r="W66" s="12">
        <v>0</v>
      </c>
      <c r="X66" s="5" t="s">
        <v>412</v>
      </c>
      <c r="Y66" s="12">
        <v>56</v>
      </c>
      <c r="Z66" s="12">
        <v>7.0000000000000007E-2</v>
      </c>
      <c r="AA66" s="12">
        <v>55.93</v>
      </c>
      <c r="AB66" s="12">
        <v>0</v>
      </c>
      <c r="AC66" s="12">
        <v>0</v>
      </c>
      <c r="AD66" s="13"/>
      <c r="AE66" s="5"/>
      <c r="AF66" s="5"/>
      <c r="AG66" s="5">
        <v>1</v>
      </c>
      <c r="AH66" s="5">
        <v>1</v>
      </c>
      <c r="AI66" s="7">
        <v>46078.6875</v>
      </c>
      <c r="AJ66" s="5" t="s">
        <v>83</v>
      </c>
      <c r="AK66" s="5" t="s">
        <v>147</v>
      </c>
      <c r="AL66" s="7">
        <v>46072.973020833335</v>
      </c>
      <c r="AM66" s="7" t="s">
        <v>56</v>
      </c>
      <c r="AN66" s="7" t="s">
        <v>408</v>
      </c>
      <c r="AO66" s="7" t="s">
        <v>58</v>
      </c>
    </row>
    <row r="67" spans="1:41" x14ac:dyDescent="0.25">
      <c r="A67" s="5" t="s">
        <v>42</v>
      </c>
      <c r="B67" s="6" t="s">
        <v>43</v>
      </c>
      <c r="C67" s="5">
        <v>4</v>
      </c>
      <c r="D67" s="5" t="s">
        <v>44</v>
      </c>
      <c r="E67" s="7" t="s">
        <v>339</v>
      </c>
      <c r="F67" s="5">
        <v>18710</v>
      </c>
      <c r="G67" s="8">
        <v>46071</v>
      </c>
      <c r="H67" s="8">
        <v>46071</v>
      </c>
      <c r="I67" s="8">
        <v>46071</v>
      </c>
      <c r="J67" s="8">
        <v>46071</v>
      </c>
      <c r="K67" s="9" t="s">
        <v>187</v>
      </c>
      <c r="L67" s="7" t="s">
        <v>188</v>
      </c>
      <c r="M67" s="5" t="s">
        <v>189</v>
      </c>
      <c r="N67" s="5" t="s">
        <v>49</v>
      </c>
      <c r="O67" s="5" t="s">
        <v>349</v>
      </c>
      <c r="P67" s="7" t="s">
        <v>51</v>
      </c>
      <c r="Q67" s="7" t="s">
        <v>51</v>
      </c>
      <c r="R67" s="10" t="s">
        <v>413</v>
      </c>
      <c r="S67" s="7" t="s">
        <v>414</v>
      </c>
      <c r="T67" s="11">
        <v>10.9</v>
      </c>
      <c r="U67" s="12">
        <v>0</v>
      </c>
      <c r="V67" s="7" t="s">
        <v>415</v>
      </c>
      <c r="W67" s="12">
        <v>0</v>
      </c>
      <c r="X67" s="5" t="s">
        <v>416</v>
      </c>
      <c r="Y67" s="12">
        <v>192.54</v>
      </c>
      <c r="Z67" s="12">
        <v>98.54</v>
      </c>
      <c r="AA67" s="12">
        <v>94</v>
      </c>
      <c r="AB67" s="12">
        <v>0</v>
      </c>
      <c r="AC67" s="12">
        <v>0</v>
      </c>
      <c r="AD67" s="13">
        <v>10</v>
      </c>
      <c r="AE67" s="5"/>
      <c r="AF67" s="5"/>
      <c r="AG67" s="5">
        <v>1</v>
      </c>
      <c r="AH67" s="5">
        <v>1</v>
      </c>
      <c r="AI67" s="7">
        <v>46077.759027777778</v>
      </c>
      <c r="AJ67" s="5" t="s">
        <v>83</v>
      </c>
      <c r="AK67" s="5" t="s">
        <v>196</v>
      </c>
      <c r="AL67" s="7">
        <v>46072.550254629627</v>
      </c>
      <c r="AM67" s="7" t="s">
        <v>85</v>
      </c>
      <c r="AN67" s="7" t="s">
        <v>417</v>
      </c>
      <c r="AO67" s="7" t="s">
        <v>58</v>
      </c>
    </row>
    <row r="68" spans="1:41" x14ac:dyDescent="0.25">
      <c r="A68" s="5" t="s">
        <v>42</v>
      </c>
      <c r="B68" s="6" t="s">
        <v>43</v>
      </c>
      <c r="C68" s="5">
        <v>4</v>
      </c>
      <c r="D68" s="5" t="s">
        <v>44</v>
      </c>
      <c r="E68" s="7" t="s">
        <v>339</v>
      </c>
      <c r="F68" s="5">
        <v>18711</v>
      </c>
      <c r="G68" s="8">
        <v>46071</v>
      </c>
      <c r="H68" s="8">
        <v>46071</v>
      </c>
      <c r="I68" s="8">
        <v>46071</v>
      </c>
      <c r="J68" s="8">
        <v>46071</v>
      </c>
      <c r="K68" s="9" t="s">
        <v>187</v>
      </c>
      <c r="L68" s="7" t="s">
        <v>188</v>
      </c>
      <c r="M68" s="5" t="s">
        <v>189</v>
      </c>
      <c r="N68" s="5" t="s">
        <v>49</v>
      </c>
      <c r="O68" s="5" t="s">
        <v>355</v>
      </c>
      <c r="P68" s="7" t="s">
        <v>51</v>
      </c>
      <c r="Q68" s="7" t="s">
        <v>51</v>
      </c>
      <c r="R68" s="10" t="s">
        <v>418</v>
      </c>
      <c r="S68" s="7" t="s">
        <v>419</v>
      </c>
      <c r="T68" s="11">
        <v>10.199999999999999</v>
      </c>
      <c r="U68" s="12">
        <v>0</v>
      </c>
      <c r="V68" s="7" t="s">
        <v>420</v>
      </c>
      <c r="W68" s="12">
        <v>0</v>
      </c>
      <c r="X68" s="5" t="s">
        <v>421</v>
      </c>
      <c r="Y68" s="12">
        <v>211.97</v>
      </c>
      <c r="Z68" s="12">
        <v>108.48</v>
      </c>
      <c r="AA68" s="12">
        <v>103.49</v>
      </c>
      <c r="AB68" s="12">
        <v>0</v>
      </c>
      <c r="AC68" s="12">
        <v>0</v>
      </c>
      <c r="AD68" s="13">
        <v>9</v>
      </c>
      <c r="AE68" s="5"/>
      <c r="AF68" s="5"/>
      <c r="AG68" s="5">
        <v>1</v>
      </c>
      <c r="AH68" s="5">
        <v>1</v>
      </c>
      <c r="AI68" s="7">
        <v>46077.759722222225</v>
      </c>
      <c r="AJ68" s="5" t="s">
        <v>83</v>
      </c>
      <c r="AK68" s="5" t="s">
        <v>196</v>
      </c>
      <c r="AL68" s="7">
        <v>46078.732418981483</v>
      </c>
      <c r="AM68" s="7" t="s">
        <v>422</v>
      </c>
      <c r="AN68" s="7" t="s">
        <v>354</v>
      </c>
      <c r="AO68" s="7" t="s">
        <v>58</v>
      </c>
    </row>
    <row r="69" spans="1:41" x14ac:dyDescent="0.25">
      <c r="A69" s="5" t="s">
        <v>42</v>
      </c>
      <c r="B69" s="6" t="s">
        <v>43</v>
      </c>
      <c r="C69" s="5">
        <v>4</v>
      </c>
      <c r="D69" s="5" t="s">
        <v>44</v>
      </c>
      <c r="E69" s="7" t="s">
        <v>74</v>
      </c>
      <c r="F69" s="5">
        <v>18963</v>
      </c>
      <c r="G69" s="8">
        <v>46071</v>
      </c>
      <c r="H69" s="8">
        <v>46071</v>
      </c>
      <c r="I69" s="8">
        <v>46071</v>
      </c>
      <c r="J69" s="8">
        <v>46071</v>
      </c>
      <c r="K69" s="9" t="s">
        <v>187</v>
      </c>
      <c r="L69" s="7" t="s">
        <v>188</v>
      </c>
      <c r="M69" s="5" t="s">
        <v>189</v>
      </c>
      <c r="N69" s="5" t="s">
        <v>49</v>
      </c>
      <c r="O69" s="5" t="s">
        <v>215</v>
      </c>
      <c r="P69" s="7" t="s">
        <v>51</v>
      </c>
      <c r="Q69" s="7" t="s">
        <v>51</v>
      </c>
      <c r="R69" s="10" t="s">
        <v>423</v>
      </c>
      <c r="S69" s="7" t="s">
        <v>424</v>
      </c>
      <c r="T69" s="11">
        <v>17</v>
      </c>
      <c r="U69" s="12">
        <v>0</v>
      </c>
      <c r="V69" s="7" t="s">
        <v>425</v>
      </c>
      <c r="W69" s="12">
        <v>0</v>
      </c>
      <c r="X69" s="5" t="s">
        <v>426</v>
      </c>
      <c r="Y69" s="12">
        <v>478.73</v>
      </c>
      <c r="Z69" s="12">
        <v>155.49</v>
      </c>
      <c r="AA69" s="12">
        <v>148.24</v>
      </c>
      <c r="AB69" s="12">
        <v>175</v>
      </c>
      <c r="AC69" s="12">
        <v>0</v>
      </c>
      <c r="AD69" s="13">
        <v>9</v>
      </c>
      <c r="AE69" s="5"/>
      <c r="AF69" s="5"/>
      <c r="AG69" s="5">
        <v>1</v>
      </c>
      <c r="AH69" s="5">
        <v>1</v>
      </c>
      <c r="AI69" s="7">
        <v>46077.73333333333</v>
      </c>
      <c r="AJ69" s="5" t="s">
        <v>83</v>
      </c>
      <c r="AK69" s="5" t="s">
        <v>196</v>
      </c>
      <c r="AL69" s="7">
        <v>46071.479027777779</v>
      </c>
      <c r="AM69" s="7" t="s">
        <v>92</v>
      </c>
      <c r="AN69" s="7" t="s">
        <v>427</v>
      </c>
      <c r="AO69" s="7" t="s">
        <v>58</v>
      </c>
    </row>
    <row r="70" spans="1:41" x14ac:dyDescent="0.25">
      <c r="A70" s="5" t="s">
        <v>42</v>
      </c>
      <c r="B70" s="6" t="s">
        <v>43</v>
      </c>
      <c r="C70" s="5">
        <v>4</v>
      </c>
      <c r="D70" s="5" t="s">
        <v>44</v>
      </c>
      <c r="E70" s="7" t="s">
        <v>74</v>
      </c>
      <c r="F70" s="5">
        <v>18965</v>
      </c>
      <c r="G70" s="8">
        <v>46071</v>
      </c>
      <c r="H70" s="8">
        <v>46071</v>
      </c>
      <c r="I70" s="8">
        <v>46071</v>
      </c>
      <c r="J70" s="8">
        <v>46071</v>
      </c>
      <c r="K70" s="9" t="s">
        <v>187</v>
      </c>
      <c r="L70" s="7" t="s">
        <v>188</v>
      </c>
      <c r="M70" s="5" t="s">
        <v>189</v>
      </c>
      <c r="N70" s="5" t="s">
        <v>49</v>
      </c>
      <c r="O70" s="5" t="s">
        <v>221</v>
      </c>
      <c r="P70" s="7" t="s">
        <v>51</v>
      </c>
      <c r="Q70" s="7" t="s">
        <v>51</v>
      </c>
      <c r="R70" s="10" t="s">
        <v>428</v>
      </c>
      <c r="S70" s="7" t="s">
        <v>429</v>
      </c>
      <c r="T70" s="11">
        <v>16</v>
      </c>
      <c r="U70" s="12">
        <v>0</v>
      </c>
      <c r="V70" s="7" t="s">
        <v>430</v>
      </c>
      <c r="W70" s="12">
        <v>0</v>
      </c>
      <c r="X70" s="5" t="s">
        <v>431</v>
      </c>
      <c r="Y70" s="12">
        <v>489.52</v>
      </c>
      <c r="Z70" s="12">
        <v>146.44999999999999</v>
      </c>
      <c r="AA70" s="12">
        <v>139.62</v>
      </c>
      <c r="AB70" s="12">
        <v>203.45</v>
      </c>
      <c r="AC70" s="12">
        <v>0</v>
      </c>
      <c r="AD70" s="13">
        <v>7</v>
      </c>
      <c r="AE70" s="5"/>
      <c r="AF70" s="5"/>
      <c r="AG70" s="5">
        <v>1</v>
      </c>
      <c r="AH70" s="5">
        <v>1</v>
      </c>
      <c r="AI70" s="7">
        <v>46077.73333333333</v>
      </c>
      <c r="AJ70" s="5" t="s">
        <v>83</v>
      </c>
      <c r="AK70" s="5" t="s">
        <v>196</v>
      </c>
      <c r="AL70" s="7">
        <v>46073.650694444441</v>
      </c>
      <c r="AM70" s="7" t="s">
        <v>92</v>
      </c>
      <c r="AN70" s="7" t="s">
        <v>432</v>
      </c>
      <c r="AO70" s="7" t="s">
        <v>58</v>
      </c>
    </row>
    <row r="71" spans="1:41" x14ac:dyDescent="0.25">
      <c r="A71" s="5" t="s">
        <v>42</v>
      </c>
      <c r="B71" s="6" t="s">
        <v>43</v>
      </c>
      <c r="C71" s="5">
        <v>4</v>
      </c>
      <c r="D71" s="5" t="s">
        <v>44</v>
      </c>
      <c r="E71" s="7" t="s">
        <v>74</v>
      </c>
      <c r="F71" s="5">
        <v>19056</v>
      </c>
      <c r="G71" s="8">
        <v>46071</v>
      </c>
      <c r="H71" s="8">
        <v>46071</v>
      </c>
      <c r="I71" s="8">
        <v>46071</v>
      </c>
      <c r="J71" s="8">
        <v>46071</v>
      </c>
      <c r="K71" s="9" t="s">
        <v>316</v>
      </c>
      <c r="L71" s="7" t="s">
        <v>317</v>
      </c>
      <c r="M71" s="5" t="s">
        <v>318</v>
      </c>
      <c r="N71" s="5" t="s">
        <v>49</v>
      </c>
      <c r="O71" s="5" t="s">
        <v>111</v>
      </c>
      <c r="P71" s="7" t="s">
        <v>51</v>
      </c>
      <c r="Q71" s="7" t="s">
        <v>51</v>
      </c>
      <c r="R71" s="10" t="s">
        <v>433</v>
      </c>
      <c r="S71" s="7" t="s">
        <v>434</v>
      </c>
      <c r="T71" s="11">
        <v>25.3</v>
      </c>
      <c r="U71" s="12">
        <v>0</v>
      </c>
      <c r="V71" s="7" t="s">
        <v>435</v>
      </c>
      <c r="W71" s="12">
        <v>0</v>
      </c>
      <c r="X71" s="5" t="s">
        <v>436</v>
      </c>
      <c r="Y71" s="12">
        <v>448.57</v>
      </c>
      <c r="Z71" s="12">
        <v>229.62</v>
      </c>
      <c r="AA71" s="12">
        <v>218.95</v>
      </c>
      <c r="AB71" s="12">
        <v>0</v>
      </c>
      <c r="AC71" s="12">
        <v>0</v>
      </c>
      <c r="AD71" s="13"/>
      <c r="AE71" s="5"/>
      <c r="AF71" s="5"/>
      <c r="AG71" s="5">
        <v>0</v>
      </c>
      <c r="AH71" s="5">
        <v>0</v>
      </c>
      <c r="AI71" s="7"/>
      <c r="AJ71" s="5"/>
      <c r="AK71" s="5"/>
      <c r="AL71" s="7">
        <v>46072.972511574073</v>
      </c>
      <c r="AM71" s="7" t="s">
        <v>56</v>
      </c>
      <c r="AN71" s="7" t="s">
        <v>437</v>
      </c>
      <c r="AO71" s="7" t="s">
        <v>58</v>
      </c>
    </row>
    <row r="72" spans="1:41" x14ac:dyDescent="0.25">
      <c r="A72" s="5" t="s">
        <v>42</v>
      </c>
      <c r="B72" s="6" t="s">
        <v>43</v>
      </c>
      <c r="C72" s="5">
        <v>4</v>
      </c>
      <c r="D72" s="5" t="s">
        <v>44</v>
      </c>
      <c r="E72" s="7" t="s">
        <v>74</v>
      </c>
      <c r="F72" s="5">
        <v>19057</v>
      </c>
      <c r="G72" s="8">
        <v>46071</v>
      </c>
      <c r="H72" s="8">
        <v>46071</v>
      </c>
      <c r="I72" s="8">
        <v>46071</v>
      </c>
      <c r="J72" s="8">
        <v>46071</v>
      </c>
      <c r="K72" s="9" t="s">
        <v>316</v>
      </c>
      <c r="L72" s="7" t="s">
        <v>317</v>
      </c>
      <c r="M72" s="5" t="s">
        <v>318</v>
      </c>
      <c r="N72" s="5" t="s">
        <v>49</v>
      </c>
      <c r="O72" s="5" t="s">
        <v>117</v>
      </c>
      <c r="P72" s="7" t="s">
        <v>51</v>
      </c>
      <c r="Q72" s="7" t="s">
        <v>51</v>
      </c>
      <c r="R72" s="10" t="s">
        <v>438</v>
      </c>
      <c r="S72" s="7" t="s">
        <v>439</v>
      </c>
      <c r="T72" s="11">
        <v>37</v>
      </c>
      <c r="U72" s="12">
        <v>0</v>
      </c>
      <c r="V72" s="7" t="s">
        <v>438</v>
      </c>
      <c r="W72" s="12">
        <v>0</v>
      </c>
      <c r="X72" s="5" t="s">
        <v>440</v>
      </c>
      <c r="Y72" s="12">
        <v>959.59</v>
      </c>
      <c r="Z72" s="12">
        <v>334.48</v>
      </c>
      <c r="AA72" s="12">
        <v>319.08</v>
      </c>
      <c r="AB72" s="12">
        <v>306.02999999999997</v>
      </c>
      <c r="AC72" s="12">
        <v>0</v>
      </c>
      <c r="AD72" s="13"/>
      <c r="AE72" s="5"/>
      <c r="AF72" s="5"/>
      <c r="AG72" s="5">
        <v>0</v>
      </c>
      <c r="AH72" s="5">
        <v>0</v>
      </c>
      <c r="AI72" s="7"/>
      <c r="AJ72" s="5"/>
      <c r="AK72" s="5"/>
      <c r="AL72" s="7">
        <v>46073.650601851848</v>
      </c>
      <c r="AM72" s="7" t="s">
        <v>92</v>
      </c>
      <c r="AN72" s="7" t="s">
        <v>441</v>
      </c>
      <c r="AO72" s="7" t="s">
        <v>58</v>
      </c>
    </row>
    <row r="73" spans="1:41" x14ac:dyDescent="0.25">
      <c r="A73" s="5" t="s">
        <v>42</v>
      </c>
      <c r="B73" s="6" t="s">
        <v>43</v>
      </c>
      <c r="C73" s="5">
        <v>4</v>
      </c>
      <c r="D73" s="5" t="s">
        <v>44</v>
      </c>
      <c r="E73" s="7" t="s">
        <v>339</v>
      </c>
      <c r="F73" s="5">
        <v>19197</v>
      </c>
      <c r="G73" s="8">
        <v>46071</v>
      </c>
      <c r="H73" s="8">
        <v>46071</v>
      </c>
      <c r="I73" s="8">
        <v>46071</v>
      </c>
      <c r="J73" s="8">
        <v>46071</v>
      </c>
      <c r="K73" s="9" t="s">
        <v>316</v>
      </c>
      <c r="L73" s="7" t="s">
        <v>317</v>
      </c>
      <c r="M73" s="5" t="s">
        <v>318</v>
      </c>
      <c r="N73" s="5" t="s">
        <v>49</v>
      </c>
      <c r="O73" s="5" t="s">
        <v>111</v>
      </c>
      <c r="P73" s="7" t="s">
        <v>51</v>
      </c>
      <c r="Q73" s="7" t="s">
        <v>51</v>
      </c>
      <c r="R73" s="10" t="s">
        <v>442</v>
      </c>
      <c r="S73" s="7" t="s">
        <v>443</v>
      </c>
      <c r="T73" s="11">
        <v>25.3</v>
      </c>
      <c r="U73" s="12">
        <v>0</v>
      </c>
      <c r="V73" s="7" t="s">
        <v>444</v>
      </c>
      <c r="W73" s="12">
        <v>0</v>
      </c>
      <c r="X73" s="5" t="s">
        <v>445</v>
      </c>
      <c r="Y73" s="12">
        <v>448.57</v>
      </c>
      <c r="Z73" s="12">
        <v>229.62</v>
      </c>
      <c r="AA73" s="12">
        <v>218.95</v>
      </c>
      <c r="AB73" s="12">
        <v>0</v>
      </c>
      <c r="AC73" s="12">
        <v>0</v>
      </c>
      <c r="AD73" s="13"/>
      <c r="AE73" s="5"/>
      <c r="AF73" s="5"/>
      <c r="AG73" s="5">
        <v>0</v>
      </c>
      <c r="AH73" s="5">
        <v>0</v>
      </c>
      <c r="AI73" s="7"/>
      <c r="AJ73" s="5"/>
      <c r="AK73" s="5"/>
      <c r="AL73" s="7">
        <v>46072.972638888888</v>
      </c>
      <c r="AM73" s="7" t="s">
        <v>56</v>
      </c>
      <c r="AN73" s="7" t="s">
        <v>446</v>
      </c>
      <c r="AO73" s="7" t="s">
        <v>58</v>
      </c>
    </row>
    <row r="74" spans="1:41" x14ac:dyDescent="0.25">
      <c r="A74" s="5" t="s">
        <v>42</v>
      </c>
      <c r="B74" s="6" t="s">
        <v>43</v>
      </c>
      <c r="C74" s="5">
        <v>4</v>
      </c>
      <c r="D74" s="5" t="s">
        <v>44</v>
      </c>
      <c r="E74" s="7" t="s">
        <v>339</v>
      </c>
      <c r="F74" s="5">
        <v>19198</v>
      </c>
      <c r="G74" s="8">
        <v>46071</v>
      </c>
      <c r="H74" s="8">
        <v>46071</v>
      </c>
      <c r="I74" s="8">
        <v>46071</v>
      </c>
      <c r="J74" s="8">
        <v>46071</v>
      </c>
      <c r="K74" s="9" t="s">
        <v>316</v>
      </c>
      <c r="L74" s="7" t="s">
        <v>317</v>
      </c>
      <c r="M74" s="5" t="s">
        <v>318</v>
      </c>
      <c r="N74" s="5" t="s">
        <v>49</v>
      </c>
      <c r="O74" s="5" t="s">
        <v>117</v>
      </c>
      <c r="P74" s="7" t="s">
        <v>51</v>
      </c>
      <c r="Q74" s="7" t="s">
        <v>51</v>
      </c>
      <c r="R74" s="10" t="s">
        <v>447</v>
      </c>
      <c r="S74" s="7" t="s">
        <v>448</v>
      </c>
      <c r="T74" s="11">
        <v>37</v>
      </c>
      <c r="U74" s="12">
        <v>0</v>
      </c>
      <c r="V74" s="7" t="s">
        <v>447</v>
      </c>
      <c r="W74" s="12">
        <v>0</v>
      </c>
      <c r="X74" s="5" t="s">
        <v>449</v>
      </c>
      <c r="Y74" s="12">
        <v>959.59</v>
      </c>
      <c r="Z74" s="12">
        <v>334.48</v>
      </c>
      <c r="AA74" s="12">
        <v>319.08</v>
      </c>
      <c r="AB74" s="12">
        <v>306.02999999999997</v>
      </c>
      <c r="AC74" s="12">
        <v>0</v>
      </c>
      <c r="AD74" s="13"/>
      <c r="AE74" s="5"/>
      <c r="AF74" s="5"/>
      <c r="AG74" s="5">
        <v>0</v>
      </c>
      <c r="AH74" s="5">
        <v>0</v>
      </c>
      <c r="AI74" s="7"/>
      <c r="AJ74" s="5"/>
      <c r="AK74" s="5"/>
      <c r="AL74" s="7">
        <v>46073.650509259256</v>
      </c>
      <c r="AM74" s="7" t="s">
        <v>92</v>
      </c>
      <c r="AN74" s="7" t="s">
        <v>450</v>
      </c>
      <c r="AO74" s="7" t="s">
        <v>58</v>
      </c>
    </row>
    <row r="75" spans="1:41" x14ac:dyDescent="0.25">
      <c r="A75" s="5" t="s">
        <v>42</v>
      </c>
      <c r="B75" s="6" t="s">
        <v>43</v>
      </c>
      <c r="C75" s="5">
        <v>3</v>
      </c>
      <c r="D75" s="5" t="s">
        <v>451</v>
      </c>
      <c r="E75" s="7" t="s">
        <v>74</v>
      </c>
      <c r="F75" s="5">
        <v>19032</v>
      </c>
      <c r="G75" s="8">
        <v>46072</v>
      </c>
      <c r="H75" s="8">
        <v>46072</v>
      </c>
      <c r="I75" s="8">
        <v>46072</v>
      </c>
      <c r="J75" s="8">
        <v>46072</v>
      </c>
      <c r="K75" s="9" t="s">
        <v>452</v>
      </c>
      <c r="L75" s="7" t="s">
        <v>453</v>
      </c>
      <c r="M75" s="5" t="s">
        <v>454</v>
      </c>
      <c r="N75" s="5" t="s">
        <v>49</v>
      </c>
      <c r="O75" s="5" t="s">
        <v>455</v>
      </c>
      <c r="P75" s="7" t="s">
        <v>51</v>
      </c>
      <c r="Q75" s="7" t="s">
        <v>51</v>
      </c>
      <c r="R75" s="10" t="s">
        <v>456</v>
      </c>
      <c r="S75" s="7" t="s">
        <v>457</v>
      </c>
      <c r="T75" s="11">
        <v>13.5</v>
      </c>
      <c r="U75" s="12">
        <v>0</v>
      </c>
      <c r="V75" s="7" t="s">
        <v>458</v>
      </c>
      <c r="W75" s="12">
        <v>0</v>
      </c>
      <c r="X75" s="5" t="s">
        <v>459</v>
      </c>
      <c r="Y75" s="12">
        <v>241.23</v>
      </c>
      <c r="Z75" s="12">
        <v>122.04</v>
      </c>
      <c r="AA75" s="12">
        <v>119.19</v>
      </c>
      <c r="AB75" s="12">
        <v>0</v>
      </c>
      <c r="AC75" s="12">
        <v>0</v>
      </c>
      <c r="AD75" s="13"/>
      <c r="AE75" s="5"/>
      <c r="AF75" s="5"/>
      <c r="AG75" s="5">
        <v>1</v>
      </c>
      <c r="AH75" s="5">
        <v>1</v>
      </c>
      <c r="AI75" s="7">
        <v>46077.717361111114</v>
      </c>
      <c r="AJ75" s="5" t="s">
        <v>140</v>
      </c>
      <c r="AK75" s="5" t="s">
        <v>460</v>
      </c>
      <c r="AL75" s="7">
        <v>46072.974861111114</v>
      </c>
      <c r="AM75" s="7" t="s">
        <v>56</v>
      </c>
      <c r="AN75" s="7" t="s">
        <v>58</v>
      </c>
      <c r="AO75" s="7" t="s">
        <v>58</v>
      </c>
    </row>
    <row r="76" spans="1:41" x14ac:dyDescent="0.25">
      <c r="A76" s="5" t="s">
        <v>42</v>
      </c>
      <c r="B76" s="6" t="s">
        <v>43</v>
      </c>
      <c r="C76" s="5">
        <v>3</v>
      </c>
      <c r="D76" s="5" t="s">
        <v>451</v>
      </c>
      <c r="E76" s="7" t="s">
        <v>74</v>
      </c>
      <c r="F76" s="5">
        <v>19033</v>
      </c>
      <c r="G76" s="8">
        <v>46072</v>
      </c>
      <c r="H76" s="8">
        <v>46072</v>
      </c>
      <c r="I76" s="8">
        <v>46072</v>
      </c>
      <c r="J76" s="8">
        <v>46072</v>
      </c>
      <c r="K76" s="9" t="s">
        <v>452</v>
      </c>
      <c r="L76" s="7" t="s">
        <v>453</v>
      </c>
      <c r="M76" s="5" t="s">
        <v>454</v>
      </c>
      <c r="N76" s="5" t="s">
        <v>49</v>
      </c>
      <c r="O76" s="5" t="s">
        <v>461</v>
      </c>
      <c r="P76" s="7" t="s">
        <v>51</v>
      </c>
      <c r="Q76" s="7" t="s">
        <v>51</v>
      </c>
      <c r="R76" s="10" t="s">
        <v>462</v>
      </c>
      <c r="S76" s="7" t="s">
        <v>463</v>
      </c>
      <c r="T76" s="11">
        <v>12.3</v>
      </c>
      <c r="U76" s="12">
        <v>0</v>
      </c>
      <c r="V76" s="7" t="s">
        <v>462</v>
      </c>
      <c r="W76" s="12">
        <v>0</v>
      </c>
      <c r="X76" s="5" t="s">
        <v>464</v>
      </c>
      <c r="Y76" s="12">
        <v>408.11</v>
      </c>
      <c r="Z76" s="12">
        <v>141.93</v>
      </c>
      <c r="AA76" s="12">
        <v>138.59</v>
      </c>
      <c r="AB76" s="12">
        <v>127.59</v>
      </c>
      <c r="AC76" s="12">
        <v>0</v>
      </c>
      <c r="AD76" s="13"/>
      <c r="AE76" s="5"/>
      <c r="AF76" s="5"/>
      <c r="AG76" s="5">
        <v>1</v>
      </c>
      <c r="AH76" s="5">
        <v>1</v>
      </c>
      <c r="AI76" s="7">
        <v>46077.719444444447</v>
      </c>
      <c r="AJ76" s="5" t="s">
        <v>140</v>
      </c>
      <c r="AK76" s="5" t="s">
        <v>460</v>
      </c>
      <c r="AL76" s="7">
        <v>46073.753518518519</v>
      </c>
      <c r="AM76" s="7" t="s">
        <v>92</v>
      </c>
      <c r="AN76" s="7" t="s">
        <v>465</v>
      </c>
      <c r="AO76" s="7" t="s">
        <v>58</v>
      </c>
    </row>
    <row r="77" spans="1:41" x14ac:dyDescent="0.25">
      <c r="A77" s="5" t="s">
        <v>42</v>
      </c>
      <c r="B77" s="6" t="s">
        <v>43</v>
      </c>
      <c r="C77" s="5">
        <v>3</v>
      </c>
      <c r="D77" s="5" t="s">
        <v>451</v>
      </c>
      <c r="E77" s="7" t="s">
        <v>74</v>
      </c>
      <c r="F77" s="5">
        <v>19310</v>
      </c>
      <c r="G77" s="8">
        <v>46072</v>
      </c>
      <c r="H77" s="8">
        <v>46072</v>
      </c>
      <c r="I77" s="8">
        <v>46072</v>
      </c>
      <c r="J77" s="8">
        <v>46072</v>
      </c>
      <c r="K77" s="9" t="s">
        <v>187</v>
      </c>
      <c r="L77" s="7" t="s">
        <v>188</v>
      </c>
      <c r="M77" s="5" t="s">
        <v>189</v>
      </c>
      <c r="N77" s="5" t="s">
        <v>49</v>
      </c>
      <c r="O77" s="5" t="s">
        <v>466</v>
      </c>
      <c r="P77" s="7" t="s">
        <v>51</v>
      </c>
      <c r="Q77" s="7" t="s">
        <v>51</v>
      </c>
      <c r="R77" s="10" t="s">
        <v>467</v>
      </c>
      <c r="S77" s="7" t="s">
        <v>468</v>
      </c>
      <c r="T77" s="11">
        <v>34.6</v>
      </c>
      <c r="U77" s="12">
        <v>0</v>
      </c>
      <c r="V77" s="7" t="s">
        <v>469</v>
      </c>
      <c r="W77" s="12">
        <v>0</v>
      </c>
      <c r="X77" s="5" t="s">
        <v>470</v>
      </c>
      <c r="Y77" s="12">
        <v>786.16</v>
      </c>
      <c r="Z77" s="12">
        <v>312.77999999999997</v>
      </c>
      <c r="AA77" s="12">
        <v>298.38</v>
      </c>
      <c r="AB77" s="12">
        <v>175</v>
      </c>
      <c r="AC77" s="12">
        <v>0</v>
      </c>
      <c r="AD77" s="13">
        <v>6</v>
      </c>
      <c r="AE77" s="5"/>
      <c r="AF77" s="5"/>
      <c r="AG77" s="5">
        <v>0</v>
      </c>
      <c r="AH77" s="5">
        <v>0</v>
      </c>
      <c r="AI77" s="7"/>
      <c r="AJ77" s="5" t="s">
        <v>58</v>
      </c>
      <c r="AK77" s="5"/>
      <c r="AL77" s="7">
        <v>46072.551932870374</v>
      </c>
      <c r="AM77" s="7" t="s">
        <v>85</v>
      </c>
      <c r="AN77" s="7" t="s">
        <v>158</v>
      </c>
      <c r="AO77" s="7" t="s">
        <v>58</v>
      </c>
    </row>
    <row r="78" spans="1:41" x14ac:dyDescent="0.25">
      <c r="A78" s="5" t="s">
        <v>42</v>
      </c>
      <c r="B78" s="6" t="s">
        <v>43</v>
      </c>
      <c r="C78" s="5">
        <v>3</v>
      </c>
      <c r="D78" s="5" t="s">
        <v>451</v>
      </c>
      <c r="E78" s="7" t="s">
        <v>74</v>
      </c>
      <c r="F78" s="5">
        <v>19312</v>
      </c>
      <c r="G78" s="8">
        <v>46072</v>
      </c>
      <c r="H78" s="8">
        <v>46072</v>
      </c>
      <c r="I78" s="8">
        <v>46072</v>
      </c>
      <c r="J78" s="8">
        <v>46072</v>
      </c>
      <c r="K78" s="9" t="s">
        <v>187</v>
      </c>
      <c r="L78" s="7" t="s">
        <v>188</v>
      </c>
      <c r="M78" s="5" t="s">
        <v>189</v>
      </c>
      <c r="N78" s="5" t="s">
        <v>49</v>
      </c>
      <c r="O78" s="5" t="s">
        <v>471</v>
      </c>
      <c r="P78" s="7" t="s">
        <v>51</v>
      </c>
      <c r="Q78" s="7" t="s">
        <v>51</v>
      </c>
      <c r="R78" s="10" t="s">
        <v>472</v>
      </c>
      <c r="S78" s="7" t="s">
        <v>473</v>
      </c>
      <c r="T78" s="11">
        <v>32.9</v>
      </c>
      <c r="U78" s="12">
        <v>0</v>
      </c>
      <c r="V78" s="7" t="s">
        <v>472</v>
      </c>
      <c r="W78" s="12">
        <v>0</v>
      </c>
      <c r="X78" s="5" t="s">
        <v>474</v>
      </c>
      <c r="Y78" s="12">
        <v>887.09</v>
      </c>
      <c r="Z78" s="12">
        <v>297.42</v>
      </c>
      <c r="AA78" s="12">
        <v>283.64</v>
      </c>
      <c r="AB78" s="12">
        <v>306.02999999999997</v>
      </c>
      <c r="AC78" s="12">
        <v>0</v>
      </c>
      <c r="AD78" s="13">
        <v>21</v>
      </c>
      <c r="AE78" s="5"/>
      <c r="AF78" s="5"/>
      <c r="AG78" s="5">
        <v>0</v>
      </c>
      <c r="AH78" s="5">
        <v>0</v>
      </c>
      <c r="AI78" s="7"/>
      <c r="AJ78" s="5" t="s">
        <v>58</v>
      </c>
      <c r="AK78" s="5"/>
      <c r="AL78" s="7">
        <v>46073.648854166669</v>
      </c>
      <c r="AM78" s="7" t="s">
        <v>92</v>
      </c>
      <c r="AN78" s="7" t="s">
        <v>58</v>
      </c>
      <c r="AO78" s="7" t="s">
        <v>58</v>
      </c>
    </row>
    <row r="79" spans="1:41" x14ac:dyDescent="0.25">
      <c r="A79" s="5" t="s">
        <v>42</v>
      </c>
      <c r="B79" s="6" t="s">
        <v>43</v>
      </c>
      <c r="C79" s="5">
        <v>3</v>
      </c>
      <c r="D79" s="5" t="s">
        <v>451</v>
      </c>
      <c r="E79" s="7" t="s">
        <v>74</v>
      </c>
      <c r="F79" s="5">
        <v>19425</v>
      </c>
      <c r="G79" s="8">
        <v>46072</v>
      </c>
      <c r="H79" s="8">
        <v>46072</v>
      </c>
      <c r="I79" s="8">
        <v>46072</v>
      </c>
      <c r="J79" s="8">
        <v>46072</v>
      </c>
      <c r="K79" s="9" t="s">
        <v>475</v>
      </c>
      <c r="L79" s="7" t="s">
        <v>476</v>
      </c>
      <c r="M79" s="5" t="s">
        <v>477</v>
      </c>
      <c r="N79" s="5" t="s">
        <v>49</v>
      </c>
      <c r="O79" s="5" t="s">
        <v>78</v>
      </c>
      <c r="P79" s="7" t="s">
        <v>51</v>
      </c>
      <c r="Q79" s="7" t="s">
        <v>51</v>
      </c>
      <c r="R79" s="10" t="s">
        <v>478</v>
      </c>
      <c r="S79" s="7" t="s">
        <v>479</v>
      </c>
      <c r="T79" s="11">
        <v>14.5</v>
      </c>
      <c r="U79" s="12">
        <v>0</v>
      </c>
      <c r="V79" s="7" t="s">
        <v>480</v>
      </c>
      <c r="W79" s="12">
        <v>0</v>
      </c>
      <c r="X79" s="5" t="s">
        <v>481</v>
      </c>
      <c r="Y79" s="12">
        <v>431.12</v>
      </c>
      <c r="Z79" s="12">
        <v>131.08000000000001</v>
      </c>
      <c r="AA79" s="12">
        <v>125.04</v>
      </c>
      <c r="AB79" s="12">
        <v>175</v>
      </c>
      <c r="AC79" s="12">
        <v>0</v>
      </c>
      <c r="AD79" s="13">
        <v>23</v>
      </c>
      <c r="AE79" s="5"/>
      <c r="AF79" s="5"/>
      <c r="AG79" s="5">
        <v>0</v>
      </c>
      <c r="AH79" s="5">
        <v>0</v>
      </c>
      <c r="AI79" s="7"/>
      <c r="AJ79" s="5"/>
      <c r="AK79" s="5"/>
      <c r="AL79" s="7">
        <v>46073.25545138889</v>
      </c>
      <c r="AM79" s="7" t="s">
        <v>56</v>
      </c>
      <c r="AN79" s="7" t="s">
        <v>344</v>
      </c>
      <c r="AO79" s="7" t="s">
        <v>58</v>
      </c>
    </row>
    <row r="80" spans="1:41" x14ac:dyDescent="0.25">
      <c r="A80" s="5" t="s">
        <v>42</v>
      </c>
      <c r="B80" s="6" t="s">
        <v>43</v>
      </c>
      <c r="C80" s="5">
        <v>3</v>
      </c>
      <c r="D80" s="5" t="s">
        <v>451</v>
      </c>
      <c r="E80" s="7" t="s">
        <v>74</v>
      </c>
      <c r="F80" s="5">
        <v>19426</v>
      </c>
      <c r="G80" s="8">
        <v>46072</v>
      </c>
      <c r="H80" s="8">
        <v>46072</v>
      </c>
      <c r="I80" s="8">
        <v>46072</v>
      </c>
      <c r="J80" s="8">
        <v>46072</v>
      </c>
      <c r="K80" s="9" t="s">
        <v>475</v>
      </c>
      <c r="L80" s="7" t="s">
        <v>476</v>
      </c>
      <c r="M80" s="5" t="s">
        <v>477</v>
      </c>
      <c r="N80" s="5" t="s">
        <v>49</v>
      </c>
      <c r="O80" s="5" t="s">
        <v>87</v>
      </c>
      <c r="P80" s="7" t="s">
        <v>51</v>
      </c>
      <c r="Q80" s="7" t="s">
        <v>51</v>
      </c>
      <c r="R80" s="10" t="s">
        <v>482</v>
      </c>
      <c r="S80" s="7" t="s">
        <v>483</v>
      </c>
      <c r="T80" s="11">
        <v>12.8</v>
      </c>
      <c r="U80" s="12">
        <v>0</v>
      </c>
      <c r="V80" s="7" t="s">
        <v>482</v>
      </c>
      <c r="W80" s="12">
        <v>0</v>
      </c>
      <c r="X80" s="5" t="s">
        <v>484</v>
      </c>
      <c r="Y80" s="12">
        <v>429.59</v>
      </c>
      <c r="Z80" s="12">
        <v>115.71</v>
      </c>
      <c r="AA80" s="12">
        <v>110.43</v>
      </c>
      <c r="AB80" s="12">
        <v>203.45</v>
      </c>
      <c r="AC80" s="12">
        <v>0</v>
      </c>
      <c r="AD80" s="13">
        <v>58</v>
      </c>
      <c r="AE80" s="5"/>
      <c r="AF80" s="5"/>
      <c r="AG80" s="5">
        <v>0</v>
      </c>
      <c r="AH80" s="5">
        <v>0</v>
      </c>
      <c r="AI80" s="7"/>
      <c r="AJ80" s="5"/>
      <c r="AK80" s="5"/>
      <c r="AL80" s="7">
        <v>46073.75377314815</v>
      </c>
      <c r="AM80" s="7" t="s">
        <v>92</v>
      </c>
      <c r="AN80" s="7" t="s">
        <v>58</v>
      </c>
      <c r="AO80" s="7" t="s">
        <v>58</v>
      </c>
    </row>
    <row r="81" spans="1:41" x14ac:dyDescent="0.25">
      <c r="A81" s="5" t="s">
        <v>42</v>
      </c>
      <c r="B81" s="6" t="s">
        <v>43</v>
      </c>
      <c r="C81" s="5">
        <v>3</v>
      </c>
      <c r="D81" s="5" t="s">
        <v>451</v>
      </c>
      <c r="E81" s="7" t="s">
        <v>74</v>
      </c>
      <c r="F81" s="5">
        <v>19429</v>
      </c>
      <c r="G81" s="8">
        <v>46072</v>
      </c>
      <c r="H81" s="8">
        <v>46072</v>
      </c>
      <c r="I81" s="8">
        <v>46072</v>
      </c>
      <c r="J81" s="8">
        <v>46072</v>
      </c>
      <c r="K81" s="9" t="s">
        <v>475</v>
      </c>
      <c r="L81" s="7" t="s">
        <v>476</v>
      </c>
      <c r="M81" s="5" t="s">
        <v>477</v>
      </c>
      <c r="N81" s="5" t="s">
        <v>49</v>
      </c>
      <c r="O81" s="5" t="s">
        <v>78</v>
      </c>
      <c r="P81" s="7" t="s">
        <v>51</v>
      </c>
      <c r="Q81" s="7" t="s">
        <v>51</v>
      </c>
      <c r="R81" s="10" t="s">
        <v>485</v>
      </c>
      <c r="S81" s="7" t="s">
        <v>486</v>
      </c>
      <c r="T81" s="11">
        <v>14.5</v>
      </c>
      <c r="U81" s="12">
        <v>0</v>
      </c>
      <c r="V81" s="7" t="s">
        <v>487</v>
      </c>
      <c r="W81" s="12">
        <v>0</v>
      </c>
      <c r="X81" s="5" t="s">
        <v>488</v>
      </c>
      <c r="Y81" s="12">
        <v>431.12</v>
      </c>
      <c r="Z81" s="12">
        <v>131.08000000000001</v>
      </c>
      <c r="AA81" s="12">
        <v>125.04</v>
      </c>
      <c r="AB81" s="12">
        <v>175</v>
      </c>
      <c r="AC81" s="12">
        <v>0</v>
      </c>
      <c r="AD81" s="13">
        <v>68</v>
      </c>
      <c r="AE81" s="5"/>
      <c r="AF81" s="5"/>
      <c r="AG81" s="5">
        <v>0</v>
      </c>
      <c r="AH81" s="5">
        <v>0</v>
      </c>
      <c r="AI81" s="7"/>
      <c r="AJ81" s="5"/>
      <c r="AK81" s="5"/>
      <c r="AL81" s="7">
        <v>46073.255740740744</v>
      </c>
      <c r="AM81" s="7" t="s">
        <v>56</v>
      </c>
      <c r="AN81" s="7" t="s">
        <v>489</v>
      </c>
      <c r="AO81" s="7" t="s">
        <v>58</v>
      </c>
    </row>
    <row r="82" spans="1:41" x14ac:dyDescent="0.25">
      <c r="A82" s="5" t="s">
        <v>42</v>
      </c>
      <c r="B82" s="6" t="s">
        <v>43</v>
      </c>
      <c r="C82" s="5">
        <v>3</v>
      </c>
      <c r="D82" s="5" t="s">
        <v>451</v>
      </c>
      <c r="E82" s="7" t="s">
        <v>74</v>
      </c>
      <c r="F82" s="5">
        <v>19431</v>
      </c>
      <c r="G82" s="8">
        <v>46072</v>
      </c>
      <c r="H82" s="8">
        <v>46072</v>
      </c>
      <c r="I82" s="8">
        <v>46072</v>
      </c>
      <c r="J82" s="8">
        <v>46072</v>
      </c>
      <c r="K82" s="9" t="s">
        <v>475</v>
      </c>
      <c r="L82" s="7" t="s">
        <v>476</v>
      </c>
      <c r="M82" s="5" t="s">
        <v>477</v>
      </c>
      <c r="N82" s="5" t="s">
        <v>49</v>
      </c>
      <c r="O82" s="5" t="s">
        <v>87</v>
      </c>
      <c r="P82" s="7" t="s">
        <v>51</v>
      </c>
      <c r="Q82" s="7" t="s">
        <v>51</v>
      </c>
      <c r="R82" s="10" t="s">
        <v>490</v>
      </c>
      <c r="S82" s="7" t="s">
        <v>491</v>
      </c>
      <c r="T82" s="11">
        <v>12.8</v>
      </c>
      <c r="U82" s="12">
        <v>0</v>
      </c>
      <c r="V82" s="7" t="s">
        <v>490</v>
      </c>
      <c r="W82" s="12">
        <v>0</v>
      </c>
      <c r="X82" s="5" t="s">
        <v>492</v>
      </c>
      <c r="Y82" s="12">
        <v>429.59</v>
      </c>
      <c r="Z82" s="12">
        <v>115.71</v>
      </c>
      <c r="AA82" s="12">
        <v>110.43</v>
      </c>
      <c r="AB82" s="12">
        <v>203.45</v>
      </c>
      <c r="AC82" s="12">
        <v>0</v>
      </c>
      <c r="AD82" s="13">
        <v>57</v>
      </c>
      <c r="AE82" s="5"/>
      <c r="AF82" s="5"/>
      <c r="AG82" s="5">
        <v>0</v>
      </c>
      <c r="AH82" s="5">
        <v>0</v>
      </c>
      <c r="AI82" s="7"/>
      <c r="AJ82" s="5"/>
      <c r="AK82" s="5"/>
      <c r="AL82" s="7">
        <v>46073.753680555557</v>
      </c>
      <c r="AM82" s="7" t="s">
        <v>92</v>
      </c>
      <c r="AN82" s="7" t="s">
        <v>58</v>
      </c>
      <c r="AO82" s="7" t="s">
        <v>58</v>
      </c>
    </row>
    <row r="83" spans="1:41" x14ac:dyDescent="0.25">
      <c r="A83" s="5" t="s">
        <v>42</v>
      </c>
      <c r="B83" s="6" t="s">
        <v>43</v>
      </c>
      <c r="C83" s="5">
        <v>3</v>
      </c>
      <c r="D83" s="5" t="s">
        <v>451</v>
      </c>
      <c r="E83" s="7" t="s">
        <v>93</v>
      </c>
      <c r="F83" s="5">
        <v>19481</v>
      </c>
      <c r="G83" s="8">
        <v>46072</v>
      </c>
      <c r="H83" s="8">
        <v>46072</v>
      </c>
      <c r="I83" s="8">
        <v>46072</v>
      </c>
      <c r="J83" s="8">
        <v>46072</v>
      </c>
      <c r="K83" s="9" t="s">
        <v>493</v>
      </c>
      <c r="L83" s="7" t="s">
        <v>494</v>
      </c>
      <c r="M83" s="5" t="s">
        <v>495</v>
      </c>
      <c r="N83" s="5" t="s">
        <v>49</v>
      </c>
      <c r="O83" s="5" t="s">
        <v>78</v>
      </c>
      <c r="P83" s="7" t="s">
        <v>51</v>
      </c>
      <c r="Q83" s="7" t="s">
        <v>51</v>
      </c>
      <c r="R83" s="10" t="s">
        <v>496</v>
      </c>
      <c r="S83" s="7" t="s">
        <v>497</v>
      </c>
      <c r="T83" s="11">
        <v>14.5</v>
      </c>
      <c r="U83" s="12">
        <v>0</v>
      </c>
      <c r="V83" s="7" t="s">
        <v>498</v>
      </c>
      <c r="W83" s="12">
        <v>0</v>
      </c>
      <c r="X83" s="5" t="s">
        <v>499</v>
      </c>
      <c r="Y83" s="12">
        <v>431.12</v>
      </c>
      <c r="Z83" s="12">
        <v>131.08000000000001</v>
      </c>
      <c r="AA83" s="12">
        <v>125.04</v>
      </c>
      <c r="AB83" s="12">
        <v>175</v>
      </c>
      <c r="AC83" s="12">
        <v>0</v>
      </c>
      <c r="AD83" s="13">
        <v>41</v>
      </c>
      <c r="AE83" s="5"/>
      <c r="AF83" s="5"/>
      <c r="AG83" s="5">
        <v>0</v>
      </c>
      <c r="AH83" s="5">
        <v>0</v>
      </c>
      <c r="AI83" s="7"/>
      <c r="AJ83" s="5"/>
      <c r="AK83" s="5"/>
      <c r="AL83" s="7">
        <v>46073.255069444444</v>
      </c>
      <c r="AM83" s="7" t="s">
        <v>56</v>
      </c>
      <c r="AN83" s="7" t="s">
        <v>500</v>
      </c>
      <c r="AO83" s="7" t="s">
        <v>58</v>
      </c>
    </row>
    <row r="84" spans="1:41" x14ac:dyDescent="0.25">
      <c r="A84" s="5" t="s">
        <v>42</v>
      </c>
      <c r="B84" s="6" t="s">
        <v>43</v>
      </c>
      <c r="C84" s="5">
        <v>3</v>
      </c>
      <c r="D84" s="5" t="s">
        <v>451</v>
      </c>
      <c r="E84" s="7" t="s">
        <v>93</v>
      </c>
      <c r="F84" s="5">
        <v>19482</v>
      </c>
      <c r="G84" s="8">
        <v>46072</v>
      </c>
      <c r="H84" s="8">
        <v>46072</v>
      </c>
      <c r="I84" s="8">
        <v>46072</v>
      </c>
      <c r="J84" s="8">
        <v>46072</v>
      </c>
      <c r="K84" s="9" t="s">
        <v>493</v>
      </c>
      <c r="L84" s="7" t="s">
        <v>494</v>
      </c>
      <c r="M84" s="5" t="s">
        <v>495</v>
      </c>
      <c r="N84" s="5" t="s">
        <v>49</v>
      </c>
      <c r="O84" s="5" t="s">
        <v>87</v>
      </c>
      <c r="P84" s="7" t="s">
        <v>51</v>
      </c>
      <c r="Q84" s="7" t="s">
        <v>51</v>
      </c>
      <c r="R84" s="10" t="s">
        <v>501</v>
      </c>
      <c r="S84" s="7" t="s">
        <v>502</v>
      </c>
      <c r="T84" s="11">
        <v>12.8</v>
      </c>
      <c r="U84" s="12">
        <v>0</v>
      </c>
      <c r="V84" s="7" t="s">
        <v>501</v>
      </c>
      <c r="W84" s="12">
        <v>0</v>
      </c>
      <c r="X84" s="5" t="s">
        <v>503</v>
      </c>
      <c r="Y84" s="12">
        <v>429.59</v>
      </c>
      <c r="Z84" s="12">
        <v>115.71</v>
      </c>
      <c r="AA84" s="12">
        <v>110.43</v>
      </c>
      <c r="AB84" s="12">
        <v>203.45</v>
      </c>
      <c r="AC84" s="12">
        <v>0</v>
      </c>
      <c r="AD84" s="13">
        <v>61</v>
      </c>
      <c r="AE84" s="5"/>
      <c r="AF84" s="5"/>
      <c r="AG84" s="5">
        <v>0</v>
      </c>
      <c r="AH84" s="5">
        <v>0</v>
      </c>
      <c r="AI84" s="7"/>
      <c r="AJ84" s="5"/>
      <c r="AK84" s="5"/>
      <c r="AL84" s="7">
        <v>46073.754351851851</v>
      </c>
      <c r="AM84" s="7" t="s">
        <v>92</v>
      </c>
      <c r="AN84" s="7" t="s">
        <v>58</v>
      </c>
      <c r="AO84" s="7" t="s">
        <v>58</v>
      </c>
    </row>
    <row r="85" spans="1:41" x14ac:dyDescent="0.25">
      <c r="A85" s="5" t="s">
        <v>42</v>
      </c>
      <c r="B85" s="6" t="s">
        <v>43</v>
      </c>
      <c r="C85" s="5">
        <v>3</v>
      </c>
      <c r="D85" s="5" t="s">
        <v>451</v>
      </c>
      <c r="E85" s="7" t="s">
        <v>93</v>
      </c>
      <c r="F85" s="5">
        <v>19533</v>
      </c>
      <c r="G85" s="8">
        <v>46072</v>
      </c>
      <c r="H85" s="8">
        <v>46072</v>
      </c>
      <c r="I85" s="8">
        <v>46072</v>
      </c>
      <c r="J85" s="8">
        <v>46072</v>
      </c>
      <c r="K85" s="9" t="s">
        <v>493</v>
      </c>
      <c r="L85" s="7" t="s">
        <v>494</v>
      </c>
      <c r="M85" s="5" t="s">
        <v>495</v>
      </c>
      <c r="N85" s="5" t="s">
        <v>49</v>
      </c>
      <c r="O85" s="5" t="s">
        <v>78</v>
      </c>
      <c r="P85" s="7" t="s">
        <v>51</v>
      </c>
      <c r="Q85" s="7" t="s">
        <v>51</v>
      </c>
      <c r="R85" s="10" t="s">
        <v>504</v>
      </c>
      <c r="S85" s="7" t="s">
        <v>505</v>
      </c>
      <c r="T85" s="11">
        <v>14.5</v>
      </c>
      <c r="U85" s="12">
        <v>0</v>
      </c>
      <c r="V85" s="7" t="s">
        <v>506</v>
      </c>
      <c r="W85" s="12">
        <v>0</v>
      </c>
      <c r="X85" s="5" t="s">
        <v>507</v>
      </c>
      <c r="Y85" s="12">
        <v>431.12</v>
      </c>
      <c r="Z85" s="12">
        <v>131.08000000000001</v>
      </c>
      <c r="AA85" s="12">
        <v>125.04</v>
      </c>
      <c r="AB85" s="12">
        <v>175</v>
      </c>
      <c r="AC85" s="12">
        <v>0</v>
      </c>
      <c r="AD85" s="13">
        <v>13</v>
      </c>
      <c r="AE85" s="5"/>
      <c r="AF85" s="5"/>
      <c r="AG85" s="5">
        <v>0</v>
      </c>
      <c r="AH85" s="5">
        <v>0</v>
      </c>
      <c r="AI85" s="7"/>
      <c r="AJ85" s="5"/>
      <c r="AK85" s="5"/>
      <c r="AL85" s="7">
        <v>46073.255196759259</v>
      </c>
      <c r="AM85" s="7" t="s">
        <v>56</v>
      </c>
      <c r="AN85" s="7" t="s">
        <v>508</v>
      </c>
      <c r="AO85" s="7" t="s">
        <v>58</v>
      </c>
    </row>
    <row r="86" spans="1:41" x14ac:dyDescent="0.25">
      <c r="A86" s="5" t="s">
        <v>42</v>
      </c>
      <c r="B86" s="6" t="s">
        <v>43</v>
      </c>
      <c r="C86" s="5">
        <v>3</v>
      </c>
      <c r="D86" s="5" t="s">
        <v>451</v>
      </c>
      <c r="E86" s="7" t="s">
        <v>93</v>
      </c>
      <c r="F86" s="5">
        <v>19534</v>
      </c>
      <c r="G86" s="8">
        <v>46072</v>
      </c>
      <c r="H86" s="8">
        <v>46072</v>
      </c>
      <c r="I86" s="8">
        <v>46072</v>
      </c>
      <c r="J86" s="8">
        <v>46072</v>
      </c>
      <c r="K86" s="9" t="s">
        <v>493</v>
      </c>
      <c r="L86" s="7" t="s">
        <v>494</v>
      </c>
      <c r="M86" s="5" t="s">
        <v>495</v>
      </c>
      <c r="N86" s="5" t="s">
        <v>49</v>
      </c>
      <c r="O86" s="5" t="s">
        <v>87</v>
      </c>
      <c r="P86" s="7" t="s">
        <v>51</v>
      </c>
      <c r="Q86" s="7" t="s">
        <v>51</v>
      </c>
      <c r="R86" s="10" t="s">
        <v>509</v>
      </c>
      <c r="S86" s="7" t="s">
        <v>510</v>
      </c>
      <c r="T86" s="11">
        <v>12.8</v>
      </c>
      <c r="U86" s="12">
        <v>0</v>
      </c>
      <c r="V86" s="7" t="s">
        <v>509</v>
      </c>
      <c r="W86" s="12">
        <v>0</v>
      </c>
      <c r="X86" s="5" t="s">
        <v>511</v>
      </c>
      <c r="Y86" s="12">
        <v>429.59</v>
      </c>
      <c r="Z86" s="12">
        <v>115.71</v>
      </c>
      <c r="AA86" s="12">
        <v>110.43</v>
      </c>
      <c r="AB86" s="12">
        <v>203.45</v>
      </c>
      <c r="AC86" s="12">
        <v>0</v>
      </c>
      <c r="AD86" s="13">
        <v>8</v>
      </c>
      <c r="AE86" s="5"/>
      <c r="AF86" s="5"/>
      <c r="AG86" s="5">
        <v>0</v>
      </c>
      <c r="AH86" s="5">
        <v>0</v>
      </c>
      <c r="AI86" s="7"/>
      <c r="AJ86" s="5"/>
      <c r="AK86" s="5"/>
      <c r="AL86" s="7">
        <v>46073.754270833335</v>
      </c>
      <c r="AM86" s="7" t="s">
        <v>92</v>
      </c>
      <c r="AN86" s="7" t="s">
        <v>58</v>
      </c>
      <c r="AO86" s="7" t="s">
        <v>58</v>
      </c>
    </row>
    <row r="87" spans="1:41" x14ac:dyDescent="0.25">
      <c r="A87" s="5" t="s">
        <v>42</v>
      </c>
      <c r="B87" s="6" t="s">
        <v>43</v>
      </c>
      <c r="C87" s="5">
        <v>3</v>
      </c>
      <c r="D87" s="5" t="s">
        <v>451</v>
      </c>
      <c r="E87" s="7" t="s">
        <v>74</v>
      </c>
      <c r="F87" s="5">
        <v>19667</v>
      </c>
      <c r="G87" s="8">
        <v>46072</v>
      </c>
      <c r="H87" s="8">
        <v>46072</v>
      </c>
      <c r="I87" s="8">
        <v>46072</v>
      </c>
      <c r="J87" s="8">
        <v>46072</v>
      </c>
      <c r="K87" s="9" t="s">
        <v>187</v>
      </c>
      <c r="L87" s="7" t="s">
        <v>188</v>
      </c>
      <c r="M87" s="5" t="s">
        <v>189</v>
      </c>
      <c r="N87" s="5" t="s">
        <v>49</v>
      </c>
      <c r="O87" s="5" t="s">
        <v>512</v>
      </c>
      <c r="P87" s="7" t="s">
        <v>51</v>
      </c>
      <c r="Q87" s="7" t="s">
        <v>51</v>
      </c>
      <c r="R87" s="10" t="s">
        <v>513</v>
      </c>
      <c r="S87" s="7" t="s">
        <v>514</v>
      </c>
      <c r="T87" s="11">
        <v>22.5</v>
      </c>
      <c r="U87" s="12">
        <v>0</v>
      </c>
      <c r="V87" s="7" t="s">
        <v>515</v>
      </c>
      <c r="W87" s="12">
        <v>0</v>
      </c>
      <c r="X87" s="5" t="s">
        <v>516</v>
      </c>
      <c r="Y87" s="12">
        <v>402.73</v>
      </c>
      <c r="Z87" s="12">
        <v>206.11</v>
      </c>
      <c r="AA87" s="12">
        <v>196.62</v>
      </c>
      <c r="AB87" s="12">
        <v>0</v>
      </c>
      <c r="AC87" s="12">
        <v>0</v>
      </c>
      <c r="AD87" s="13">
        <v>12</v>
      </c>
      <c r="AE87" s="5"/>
      <c r="AF87" s="5"/>
      <c r="AG87" s="5">
        <v>1</v>
      </c>
      <c r="AH87" s="5">
        <v>1</v>
      </c>
      <c r="AI87" s="7">
        <v>46077.757638888892</v>
      </c>
      <c r="AJ87" s="5" t="s">
        <v>140</v>
      </c>
      <c r="AK87" s="5" t="s">
        <v>196</v>
      </c>
      <c r="AL87" s="7">
        <v>46073.333969907406</v>
      </c>
      <c r="AM87" s="7" t="s">
        <v>85</v>
      </c>
      <c r="AN87" s="7" t="s">
        <v>517</v>
      </c>
      <c r="AO87" s="7" t="s">
        <v>58</v>
      </c>
    </row>
    <row r="88" spans="1:41" x14ac:dyDescent="0.25">
      <c r="A88" s="5" t="s">
        <v>42</v>
      </c>
      <c r="B88" s="6" t="s">
        <v>43</v>
      </c>
      <c r="C88" s="5">
        <v>3</v>
      </c>
      <c r="D88" s="5" t="s">
        <v>451</v>
      </c>
      <c r="E88" s="7" t="s">
        <v>74</v>
      </c>
      <c r="F88" s="5">
        <v>19668</v>
      </c>
      <c r="G88" s="8">
        <v>46072</v>
      </c>
      <c r="H88" s="8">
        <v>46072</v>
      </c>
      <c r="I88" s="8">
        <v>46072</v>
      </c>
      <c r="J88" s="8">
        <v>46072</v>
      </c>
      <c r="K88" s="9" t="s">
        <v>187</v>
      </c>
      <c r="L88" s="7" t="s">
        <v>188</v>
      </c>
      <c r="M88" s="5" t="s">
        <v>189</v>
      </c>
      <c r="N88" s="5" t="s">
        <v>49</v>
      </c>
      <c r="O88" s="5" t="s">
        <v>518</v>
      </c>
      <c r="P88" s="7" t="s">
        <v>51</v>
      </c>
      <c r="Q88" s="7" t="s">
        <v>51</v>
      </c>
      <c r="R88" s="10" t="s">
        <v>519</v>
      </c>
      <c r="S88" s="7" t="s">
        <v>520</v>
      </c>
      <c r="T88" s="11">
        <v>22.5</v>
      </c>
      <c r="U88" s="12">
        <v>0</v>
      </c>
      <c r="V88" s="7" t="s">
        <v>519</v>
      </c>
      <c r="W88" s="12">
        <v>0</v>
      </c>
      <c r="X88" s="5" t="s">
        <v>521</v>
      </c>
      <c r="Y88" s="12">
        <v>422.17</v>
      </c>
      <c r="Z88" s="12">
        <v>216.06</v>
      </c>
      <c r="AA88" s="12">
        <v>206.11</v>
      </c>
      <c r="AB88" s="12">
        <v>0</v>
      </c>
      <c r="AC88" s="12">
        <v>0</v>
      </c>
      <c r="AD88" s="13">
        <v>7</v>
      </c>
      <c r="AE88" s="5"/>
      <c r="AF88" s="5"/>
      <c r="AG88" s="5">
        <v>1</v>
      </c>
      <c r="AH88" s="5">
        <v>1</v>
      </c>
      <c r="AI88" s="7">
        <v>46077.758333333331</v>
      </c>
      <c r="AJ88" s="5" t="s">
        <v>140</v>
      </c>
      <c r="AK88" s="5" t="s">
        <v>196</v>
      </c>
      <c r="AL88" s="7">
        <v>46073.753958333335</v>
      </c>
      <c r="AM88" s="7" t="s">
        <v>92</v>
      </c>
      <c r="AN88" s="7" t="s">
        <v>517</v>
      </c>
      <c r="AO88" s="7" t="s">
        <v>58</v>
      </c>
    </row>
    <row r="89" spans="1:41" x14ac:dyDescent="0.25">
      <c r="A89" s="5" t="s">
        <v>42</v>
      </c>
      <c r="B89" s="6" t="s">
        <v>43</v>
      </c>
      <c r="C89" s="5">
        <v>3</v>
      </c>
      <c r="D89" s="5" t="s">
        <v>451</v>
      </c>
      <c r="E89" s="7" t="s">
        <v>74</v>
      </c>
      <c r="F89" s="5">
        <v>19803</v>
      </c>
      <c r="G89" s="8">
        <v>46072</v>
      </c>
      <c r="H89" s="8">
        <v>46072</v>
      </c>
      <c r="I89" s="8">
        <v>46072</v>
      </c>
      <c r="J89" s="8">
        <v>46072</v>
      </c>
      <c r="K89" s="9" t="s">
        <v>187</v>
      </c>
      <c r="L89" s="7" t="s">
        <v>188</v>
      </c>
      <c r="M89" s="5" t="s">
        <v>189</v>
      </c>
      <c r="N89" s="5" t="s">
        <v>49</v>
      </c>
      <c r="O89" s="5" t="s">
        <v>239</v>
      </c>
      <c r="P89" s="7" t="s">
        <v>51</v>
      </c>
      <c r="Q89" s="7" t="s">
        <v>240</v>
      </c>
      <c r="R89" s="10" t="s">
        <v>522</v>
      </c>
      <c r="S89" s="7" t="s">
        <v>523</v>
      </c>
      <c r="T89" s="11">
        <v>13.4</v>
      </c>
      <c r="U89" s="12">
        <v>0</v>
      </c>
      <c r="V89" s="7" t="s">
        <v>524</v>
      </c>
      <c r="W89" s="12">
        <v>0</v>
      </c>
      <c r="X89" s="5" t="s">
        <v>525</v>
      </c>
      <c r="Y89" s="12">
        <v>236.7</v>
      </c>
      <c r="Z89" s="12">
        <v>121.14</v>
      </c>
      <c r="AA89" s="12">
        <v>115.56</v>
      </c>
      <c r="AB89" s="12">
        <v>0</v>
      </c>
      <c r="AC89" s="12">
        <v>0</v>
      </c>
      <c r="AD89" s="13">
        <v>13</v>
      </c>
      <c r="AE89" s="5"/>
      <c r="AF89" s="5"/>
      <c r="AG89" s="5">
        <v>1</v>
      </c>
      <c r="AH89" s="5">
        <v>1</v>
      </c>
      <c r="AI89" s="7">
        <v>46077.522916666669</v>
      </c>
      <c r="AJ89" s="5" t="s">
        <v>140</v>
      </c>
      <c r="AK89" s="5" t="s">
        <v>196</v>
      </c>
      <c r="AL89" s="7">
        <v>46073.376273148147</v>
      </c>
      <c r="AM89" s="7" t="s">
        <v>85</v>
      </c>
      <c r="AN89" s="7" t="s">
        <v>526</v>
      </c>
      <c r="AO89" s="7" t="s">
        <v>58</v>
      </c>
    </row>
    <row r="90" spans="1:41" x14ac:dyDescent="0.25">
      <c r="A90" s="5" t="s">
        <v>42</v>
      </c>
      <c r="B90" s="6" t="s">
        <v>43</v>
      </c>
      <c r="C90" s="5">
        <v>3</v>
      </c>
      <c r="D90" s="5" t="s">
        <v>451</v>
      </c>
      <c r="E90" s="7" t="s">
        <v>74</v>
      </c>
      <c r="F90" s="5">
        <v>19804</v>
      </c>
      <c r="G90" s="8">
        <v>46072</v>
      </c>
      <c r="H90" s="8">
        <v>46072</v>
      </c>
      <c r="I90" s="8">
        <v>46072</v>
      </c>
      <c r="J90" s="8">
        <v>46072</v>
      </c>
      <c r="K90" s="9" t="s">
        <v>187</v>
      </c>
      <c r="L90" s="7" t="s">
        <v>188</v>
      </c>
      <c r="M90" s="5" t="s">
        <v>189</v>
      </c>
      <c r="N90" s="5" t="s">
        <v>49</v>
      </c>
      <c r="O90" s="5" t="s">
        <v>246</v>
      </c>
      <c r="P90" s="7" t="s">
        <v>240</v>
      </c>
      <c r="Q90" s="7" t="s">
        <v>51</v>
      </c>
      <c r="R90" s="10" t="s">
        <v>527</v>
      </c>
      <c r="S90" s="7" t="s">
        <v>528</v>
      </c>
      <c r="T90" s="11">
        <v>18.3</v>
      </c>
      <c r="U90" s="12">
        <v>0</v>
      </c>
      <c r="V90" s="7" t="s">
        <v>529</v>
      </c>
      <c r="W90" s="12">
        <v>0</v>
      </c>
      <c r="X90" s="5" t="s">
        <v>530</v>
      </c>
      <c r="Y90" s="12">
        <v>323.31</v>
      </c>
      <c r="Z90" s="12">
        <v>165.43</v>
      </c>
      <c r="AA90" s="12">
        <v>157.88</v>
      </c>
      <c r="AB90" s="12">
        <v>0</v>
      </c>
      <c r="AC90" s="12">
        <v>0</v>
      </c>
      <c r="AD90" s="13">
        <v>6</v>
      </c>
      <c r="AE90" s="5"/>
      <c r="AF90" s="5"/>
      <c r="AG90" s="5">
        <v>1</v>
      </c>
      <c r="AH90" s="5">
        <v>1</v>
      </c>
      <c r="AI90" s="7">
        <v>46077.524305555555</v>
      </c>
      <c r="AJ90" s="5" t="s">
        <v>140</v>
      </c>
      <c r="AK90" s="5" t="s">
        <v>196</v>
      </c>
      <c r="AL90" s="7">
        <v>46073.757060185184</v>
      </c>
      <c r="AM90" s="7" t="s">
        <v>92</v>
      </c>
      <c r="AN90" s="7" t="s">
        <v>531</v>
      </c>
      <c r="AO90" s="7" t="s">
        <v>58</v>
      </c>
    </row>
    <row r="91" spans="1:41" x14ac:dyDescent="0.25">
      <c r="A91" s="5" t="s">
        <v>42</v>
      </c>
      <c r="B91" s="6" t="s">
        <v>43</v>
      </c>
      <c r="C91" s="5">
        <v>3</v>
      </c>
      <c r="D91" s="5" t="s">
        <v>451</v>
      </c>
      <c r="E91" s="7" t="s">
        <v>74</v>
      </c>
      <c r="F91" s="5">
        <v>19313</v>
      </c>
      <c r="G91" s="8">
        <v>46073</v>
      </c>
      <c r="H91" s="8">
        <v>46073</v>
      </c>
      <c r="I91" s="8">
        <v>46073</v>
      </c>
      <c r="J91" s="8">
        <v>46073</v>
      </c>
      <c r="K91" s="9" t="s">
        <v>187</v>
      </c>
      <c r="L91" s="7" t="s">
        <v>188</v>
      </c>
      <c r="M91" s="5" t="s">
        <v>189</v>
      </c>
      <c r="N91" s="5" t="s">
        <v>49</v>
      </c>
      <c r="O91" s="5" t="s">
        <v>532</v>
      </c>
      <c r="P91" s="7" t="s">
        <v>51</v>
      </c>
      <c r="Q91" s="7" t="s">
        <v>533</v>
      </c>
      <c r="R91" s="10" t="s">
        <v>534</v>
      </c>
      <c r="S91" s="7" t="s">
        <v>535</v>
      </c>
      <c r="T91" s="11">
        <v>80.400000000000006</v>
      </c>
      <c r="U91" s="12">
        <v>0</v>
      </c>
      <c r="V91" s="7" t="s">
        <v>536</v>
      </c>
      <c r="W91" s="12">
        <v>0</v>
      </c>
      <c r="X91" s="5" t="s">
        <v>537</v>
      </c>
      <c r="Y91" s="12">
        <v>1673.66</v>
      </c>
      <c r="Z91" s="12">
        <v>726.82</v>
      </c>
      <c r="AA91" s="12">
        <v>680.46</v>
      </c>
      <c r="AB91" s="12">
        <v>266.38</v>
      </c>
      <c r="AC91" s="12">
        <v>0</v>
      </c>
      <c r="AD91" s="13">
        <v>11</v>
      </c>
      <c r="AE91" s="5"/>
      <c r="AF91" s="5"/>
      <c r="AG91" s="5">
        <v>1</v>
      </c>
      <c r="AH91" s="5">
        <v>1</v>
      </c>
      <c r="AI91" s="7">
        <v>46078.478472222225</v>
      </c>
      <c r="AJ91" s="5" t="s">
        <v>140</v>
      </c>
      <c r="AK91" s="5" t="s">
        <v>538</v>
      </c>
      <c r="AL91" s="7">
        <v>46073.790243055555</v>
      </c>
      <c r="AM91" s="7" t="s">
        <v>92</v>
      </c>
      <c r="AN91" s="7" t="s">
        <v>539</v>
      </c>
      <c r="AO91" s="7" t="s">
        <v>58</v>
      </c>
    </row>
    <row r="92" spans="1:41" x14ac:dyDescent="0.25">
      <c r="A92" s="5" t="s">
        <v>42</v>
      </c>
      <c r="B92" s="6" t="s">
        <v>43</v>
      </c>
      <c r="C92" s="5">
        <v>3</v>
      </c>
      <c r="D92" s="5" t="s">
        <v>451</v>
      </c>
      <c r="E92" s="7" t="s">
        <v>74</v>
      </c>
      <c r="F92" s="5">
        <v>19314</v>
      </c>
      <c r="G92" s="8">
        <v>46073</v>
      </c>
      <c r="H92" s="8">
        <v>46073</v>
      </c>
      <c r="I92" s="8">
        <v>46073</v>
      </c>
      <c r="J92" s="8">
        <v>46073</v>
      </c>
      <c r="K92" s="9" t="s">
        <v>187</v>
      </c>
      <c r="L92" s="7" t="s">
        <v>188</v>
      </c>
      <c r="M92" s="5" t="s">
        <v>189</v>
      </c>
      <c r="N92" s="5" t="s">
        <v>49</v>
      </c>
      <c r="O92" s="5" t="s">
        <v>540</v>
      </c>
      <c r="P92" s="7" t="s">
        <v>533</v>
      </c>
      <c r="Q92" s="7" t="s">
        <v>51</v>
      </c>
      <c r="R92" s="10" t="s">
        <v>541</v>
      </c>
      <c r="S92" s="7" t="s">
        <v>542</v>
      </c>
      <c r="T92" s="11">
        <v>75.599999999999994</v>
      </c>
      <c r="U92" s="12">
        <v>0</v>
      </c>
      <c r="V92" s="7" t="s">
        <v>543</v>
      </c>
      <c r="W92" s="12">
        <v>0</v>
      </c>
      <c r="X92" s="5" t="s">
        <v>58</v>
      </c>
      <c r="Y92" s="12">
        <v>0</v>
      </c>
      <c r="Z92" s="12">
        <v>699.7</v>
      </c>
      <c r="AA92" s="12">
        <v>655.03</v>
      </c>
      <c r="AB92" s="12">
        <v>266.38</v>
      </c>
      <c r="AC92" s="12">
        <v>0</v>
      </c>
      <c r="AD92" s="13"/>
      <c r="AE92" s="5"/>
      <c r="AF92" s="5"/>
      <c r="AG92" s="5">
        <v>1</v>
      </c>
      <c r="AH92" s="5">
        <v>1</v>
      </c>
      <c r="AI92" s="7">
        <v>46078.478472222225</v>
      </c>
      <c r="AJ92" s="5" t="s">
        <v>140</v>
      </c>
      <c r="AK92" s="5" t="s">
        <v>544</v>
      </c>
      <c r="AL92" s="7">
        <v>46074.913865740738</v>
      </c>
      <c r="AM92" s="7"/>
      <c r="AN92" s="7" t="s">
        <v>545</v>
      </c>
      <c r="AO92" s="7" t="s">
        <v>58</v>
      </c>
    </row>
    <row r="93" spans="1:41" x14ac:dyDescent="0.25">
      <c r="A93" s="5" t="s">
        <v>42</v>
      </c>
      <c r="B93" s="6" t="s">
        <v>43</v>
      </c>
      <c r="C93" s="5">
        <v>3</v>
      </c>
      <c r="D93" s="5" t="s">
        <v>451</v>
      </c>
      <c r="E93" s="7" t="s">
        <v>74</v>
      </c>
      <c r="F93" s="5">
        <v>19326</v>
      </c>
      <c r="G93" s="8">
        <v>46073</v>
      </c>
      <c r="H93" s="8">
        <v>46073</v>
      </c>
      <c r="I93" s="8">
        <v>46073</v>
      </c>
      <c r="J93" s="8">
        <v>46073</v>
      </c>
      <c r="K93" s="9" t="s">
        <v>187</v>
      </c>
      <c r="L93" s="7" t="s">
        <v>188</v>
      </c>
      <c r="M93" s="5" t="s">
        <v>189</v>
      </c>
      <c r="N93" s="5" t="s">
        <v>49</v>
      </c>
      <c r="O93" s="5" t="s">
        <v>546</v>
      </c>
      <c r="P93" s="7" t="s">
        <v>51</v>
      </c>
      <c r="Q93" s="7" t="s">
        <v>51</v>
      </c>
      <c r="R93" s="10" t="s">
        <v>547</v>
      </c>
      <c r="S93" s="7" t="s">
        <v>548</v>
      </c>
      <c r="T93" s="11">
        <v>20.6</v>
      </c>
      <c r="U93" s="12">
        <v>0</v>
      </c>
      <c r="V93" s="7" t="s">
        <v>549</v>
      </c>
      <c r="W93" s="12">
        <v>0</v>
      </c>
      <c r="X93" s="5" t="s">
        <v>550</v>
      </c>
      <c r="Y93" s="12">
        <v>363.95</v>
      </c>
      <c r="Z93" s="12">
        <v>186.22</v>
      </c>
      <c r="AA93" s="12">
        <v>177.73</v>
      </c>
      <c r="AB93" s="12">
        <v>0</v>
      </c>
      <c r="AC93" s="12">
        <v>0</v>
      </c>
      <c r="AD93" s="13">
        <v>4</v>
      </c>
      <c r="AE93" s="5"/>
      <c r="AF93" s="5"/>
      <c r="AG93" s="5">
        <v>0</v>
      </c>
      <c r="AH93" s="5">
        <v>0</v>
      </c>
      <c r="AI93" s="7"/>
      <c r="AJ93" s="5" t="s">
        <v>58</v>
      </c>
      <c r="AK93" s="5"/>
      <c r="AL93" s="7">
        <v>46073.543217592596</v>
      </c>
      <c r="AM93" s="7" t="s">
        <v>140</v>
      </c>
      <c r="AN93" s="7" t="s">
        <v>551</v>
      </c>
      <c r="AO93" s="7" t="s">
        <v>58</v>
      </c>
    </row>
    <row r="94" spans="1:41" x14ac:dyDescent="0.25">
      <c r="A94" s="5" t="s">
        <v>42</v>
      </c>
      <c r="B94" s="6" t="s">
        <v>43</v>
      </c>
      <c r="C94" s="5">
        <v>3</v>
      </c>
      <c r="D94" s="5" t="s">
        <v>451</v>
      </c>
      <c r="E94" s="7" t="s">
        <v>74</v>
      </c>
      <c r="F94" s="5">
        <v>19327</v>
      </c>
      <c r="G94" s="8">
        <v>46073</v>
      </c>
      <c r="H94" s="8">
        <v>46073</v>
      </c>
      <c r="I94" s="8">
        <v>46073</v>
      </c>
      <c r="J94" s="8">
        <v>46073</v>
      </c>
      <c r="K94" s="9" t="s">
        <v>187</v>
      </c>
      <c r="L94" s="7" t="s">
        <v>188</v>
      </c>
      <c r="M94" s="5" t="s">
        <v>189</v>
      </c>
      <c r="N94" s="5" t="s">
        <v>49</v>
      </c>
      <c r="O94" s="5" t="s">
        <v>552</v>
      </c>
      <c r="P94" s="7" t="s">
        <v>51</v>
      </c>
      <c r="Q94" s="7" t="s">
        <v>51</v>
      </c>
      <c r="R94" s="10" t="s">
        <v>553</v>
      </c>
      <c r="S94" s="7" t="s">
        <v>554</v>
      </c>
      <c r="T94" s="11">
        <v>21.5</v>
      </c>
      <c r="U94" s="12">
        <v>0</v>
      </c>
      <c r="V94" s="7" t="s">
        <v>555</v>
      </c>
      <c r="W94" s="12">
        <v>0</v>
      </c>
      <c r="X94" s="5" t="s">
        <v>556</v>
      </c>
      <c r="Y94" s="12">
        <v>402.56</v>
      </c>
      <c r="Z94" s="12">
        <v>206.11</v>
      </c>
      <c r="AA94" s="12">
        <v>196.45</v>
      </c>
      <c r="AB94" s="12">
        <v>0</v>
      </c>
      <c r="AC94" s="12">
        <v>0</v>
      </c>
      <c r="AD94" s="13"/>
      <c r="AE94" s="5"/>
      <c r="AF94" s="5"/>
      <c r="AG94" s="5">
        <v>0</v>
      </c>
      <c r="AH94" s="5">
        <v>0</v>
      </c>
      <c r="AI94" s="7">
        <v>46077.781944444447</v>
      </c>
      <c r="AJ94" s="5" t="s">
        <v>557</v>
      </c>
      <c r="AK94" s="5" t="s">
        <v>557</v>
      </c>
      <c r="AL94" s="7">
        <v>46078.749490740738</v>
      </c>
      <c r="AM94" s="7" t="s">
        <v>197</v>
      </c>
      <c r="AN94" s="7" t="s">
        <v>551</v>
      </c>
      <c r="AO94" s="7" t="s">
        <v>58</v>
      </c>
    </row>
    <row r="95" spans="1:41" x14ac:dyDescent="0.25">
      <c r="A95" s="5" t="s">
        <v>42</v>
      </c>
      <c r="B95" s="6" t="s">
        <v>43</v>
      </c>
      <c r="C95" s="5">
        <v>3</v>
      </c>
      <c r="D95" s="5" t="s">
        <v>451</v>
      </c>
      <c r="E95" s="7" t="s">
        <v>93</v>
      </c>
      <c r="F95" s="5">
        <v>19594</v>
      </c>
      <c r="G95" s="8">
        <v>46073</v>
      </c>
      <c r="H95" s="8">
        <v>46073</v>
      </c>
      <c r="I95" s="8">
        <v>46073</v>
      </c>
      <c r="J95" s="8">
        <v>46073</v>
      </c>
      <c r="K95" s="9" t="s">
        <v>558</v>
      </c>
      <c r="L95" s="7" t="s">
        <v>559</v>
      </c>
      <c r="M95" s="5" t="s">
        <v>560</v>
      </c>
      <c r="N95" s="5" t="s">
        <v>49</v>
      </c>
      <c r="O95" s="5" t="s">
        <v>561</v>
      </c>
      <c r="P95" s="7" t="s">
        <v>51</v>
      </c>
      <c r="Q95" s="7" t="s">
        <v>51</v>
      </c>
      <c r="R95" s="10" t="s">
        <v>562</v>
      </c>
      <c r="S95" s="7" t="s">
        <v>563</v>
      </c>
      <c r="T95" s="11">
        <v>25.2</v>
      </c>
      <c r="U95" s="12">
        <v>0</v>
      </c>
      <c r="V95" s="7" t="s">
        <v>564</v>
      </c>
      <c r="W95" s="12">
        <v>0</v>
      </c>
      <c r="X95" s="5" t="s">
        <v>565</v>
      </c>
      <c r="Y95" s="12">
        <v>445.04</v>
      </c>
      <c r="Z95" s="12">
        <v>227.81</v>
      </c>
      <c r="AA95" s="12">
        <v>217.23</v>
      </c>
      <c r="AB95" s="12">
        <v>0</v>
      </c>
      <c r="AC95" s="12">
        <v>0</v>
      </c>
      <c r="AD95" s="13">
        <v>50</v>
      </c>
      <c r="AE95" s="5"/>
      <c r="AF95" s="5"/>
      <c r="AG95" s="5">
        <v>0</v>
      </c>
      <c r="AH95" s="5">
        <v>0</v>
      </c>
      <c r="AI95" s="7"/>
      <c r="AJ95" s="5"/>
      <c r="AK95" s="5"/>
      <c r="AL95" s="7">
        <v>46073.715925925928</v>
      </c>
      <c r="AM95" s="7" t="s">
        <v>140</v>
      </c>
      <c r="AN95" s="7" t="s">
        <v>566</v>
      </c>
      <c r="AO95" s="7" t="s">
        <v>58</v>
      </c>
    </row>
    <row r="96" spans="1:41" x14ac:dyDescent="0.25">
      <c r="A96" s="5" t="s">
        <v>42</v>
      </c>
      <c r="B96" s="6" t="s">
        <v>43</v>
      </c>
      <c r="C96" s="5">
        <v>3</v>
      </c>
      <c r="D96" s="5" t="s">
        <v>451</v>
      </c>
      <c r="E96" s="7" t="s">
        <v>93</v>
      </c>
      <c r="F96" s="5">
        <v>19595</v>
      </c>
      <c r="G96" s="8">
        <v>46073</v>
      </c>
      <c r="H96" s="8">
        <v>46073</v>
      </c>
      <c r="I96" s="8">
        <v>46073</v>
      </c>
      <c r="J96" s="8">
        <v>46073</v>
      </c>
      <c r="K96" s="9" t="s">
        <v>558</v>
      </c>
      <c r="L96" s="7" t="s">
        <v>559</v>
      </c>
      <c r="M96" s="5" t="s">
        <v>560</v>
      </c>
      <c r="N96" s="5" t="s">
        <v>49</v>
      </c>
      <c r="O96" s="5" t="s">
        <v>567</v>
      </c>
      <c r="P96" s="7" t="s">
        <v>51</v>
      </c>
      <c r="Q96" s="7" t="s">
        <v>51</v>
      </c>
      <c r="R96" s="10" t="s">
        <v>568</v>
      </c>
      <c r="S96" s="7" t="s">
        <v>569</v>
      </c>
      <c r="T96" s="11">
        <v>37</v>
      </c>
      <c r="U96" s="12">
        <v>0</v>
      </c>
      <c r="V96" s="7" t="s">
        <v>568</v>
      </c>
      <c r="W96" s="12">
        <v>0</v>
      </c>
      <c r="X96" s="5" t="s">
        <v>570</v>
      </c>
      <c r="Y96" s="12">
        <v>959.73</v>
      </c>
      <c r="Z96" s="12">
        <v>334.48</v>
      </c>
      <c r="AA96" s="12">
        <v>319.22000000000003</v>
      </c>
      <c r="AB96" s="12">
        <v>306.02999999999997</v>
      </c>
      <c r="AC96" s="12">
        <v>0</v>
      </c>
      <c r="AD96" s="13">
        <v>51</v>
      </c>
      <c r="AE96" s="5"/>
      <c r="AF96" s="5"/>
      <c r="AG96" s="5">
        <v>0</v>
      </c>
      <c r="AH96" s="5">
        <v>0</v>
      </c>
      <c r="AI96" s="7"/>
      <c r="AJ96" s="5"/>
      <c r="AK96" s="5"/>
      <c r="AL96" s="7">
        <v>46073.755960648145</v>
      </c>
      <c r="AM96" s="7" t="s">
        <v>92</v>
      </c>
      <c r="AN96" s="7" t="s">
        <v>571</v>
      </c>
      <c r="AO96" s="7" t="s">
        <v>58</v>
      </c>
    </row>
    <row r="97" spans="1:41" x14ac:dyDescent="0.25">
      <c r="A97" s="5" t="s">
        <v>42</v>
      </c>
      <c r="B97" s="6" t="s">
        <v>43</v>
      </c>
      <c r="C97" s="5">
        <v>3</v>
      </c>
      <c r="D97" s="5" t="s">
        <v>451</v>
      </c>
      <c r="E97" s="7" t="s">
        <v>74</v>
      </c>
      <c r="F97" s="5">
        <v>19731</v>
      </c>
      <c r="G97" s="8">
        <v>46073</v>
      </c>
      <c r="H97" s="8">
        <v>46073</v>
      </c>
      <c r="I97" s="8">
        <v>46073</v>
      </c>
      <c r="J97" s="8">
        <v>46073</v>
      </c>
      <c r="K97" s="9" t="s">
        <v>572</v>
      </c>
      <c r="L97" s="7" t="s">
        <v>76</v>
      </c>
      <c r="M97" s="5" t="s">
        <v>77</v>
      </c>
      <c r="N97" s="5" t="s">
        <v>49</v>
      </c>
      <c r="O97" s="5" t="s">
        <v>78</v>
      </c>
      <c r="P97" s="7" t="s">
        <v>51</v>
      </c>
      <c r="Q97" s="7" t="s">
        <v>51</v>
      </c>
      <c r="R97" s="10" t="s">
        <v>573</v>
      </c>
      <c r="S97" s="7" t="s">
        <v>574</v>
      </c>
      <c r="T97" s="11">
        <v>14.5</v>
      </c>
      <c r="U97" s="12">
        <v>0</v>
      </c>
      <c r="V97" s="7" t="s">
        <v>575</v>
      </c>
      <c r="W97" s="12">
        <v>0</v>
      </c>
      <c r="X97" s="5" t="s">
        <v>576</v>
      </c>
      <c r="Y97" s="12">
        <v>431.18</v>
      </c>
      <c r="Z97" s="12">
        <v>131.08000000000001</v>
      </c>
      <c r="AA97" s="12">
        <v>125.1</v>
      </c>
      <c r="AB97" s="12">
        <v>175</v>
      </c>
      <c r="AC97" s="12">
        <v>0</v>
      </c>
      <c r="AD97" s="13">
        <v>62</v>
      </c>
      <c r="AE97" s="5"/>
      <c r="AF97" s="5"/>
      <c r="AG97" s="5">
        <v>0</v>
      </c>
      <c r="AH97" s="5">
        <v>0</v>
      </c>
      <c r="AI97" s="7"/>
      <c r="AJ97" s="5"/>
      <c r="AK97" s="5"/>
      <c r="AL97" s="7">
        <v>46073.731666666667</v>
      </c>
      <c r="AM97" s="7" t="s">
        <v>140</v>
      </c>
      <c r="AN97" s="7" t="s">
        <v>577</v>
      </c>
      <c r="AO97" s="7" t="s">
        <v>58</v>
      </c>
    </row>
    <row r="98" spans="1:41" x14ac:dyDescent="0.25">
      <c r="A98" s="5" t="s">
        <v>42</v>
      </c>
      <c r="B98" s="6" t="s">
        <v>43</v>
      </c>
      <c r="C98" s="5">
        <v>3</v>
      </c>
      <c r="D98" s="5" t="s">
        <v>451</v>
      </c>
      <c r="E98" s="7" t="s">
        <v>74</v>
      </c>
      <c r="F98" s="5">
        <v>19732</v>
      </c>
      <c r="G98" s="8">
        <v>46073</v>
      </c>
      <c r="H98" s="8">
        <v>46073</v>
      </c>
      <c r="I98" s="8">
        <v>46073</v>
      </c>
      <c r="J98" s="8">
        <v>46073</v>
      </c>
      <c r="K98" s="9" t="s">
        <v>572</v>
      </c>
      <c r="L98" s="7" t="s">
        <v>76</v>
      </c>
      <c r="M98" s="5" t="s">
        <v>77</v>
      </c>
      <c r="N98" s="5" t="s">
        <v>49</v>
      </c>
      <c r="O98" s="5" t="s">
        <v>87</v>
      </c>
      <c r="P98" s="7" t="s">
        <v>51</v>
      </c>
      <c r="Q98" s="7" t="s">
        <v>51</v>
      </c>
      <c r="R98" s="10" t="s">
        <v>578</v>
      </c>
      <c r="S98" s="7" t="s">
        <v>579</v>
      </c>
      <c r="T98" s="11">
        <v>12.8</v>
      </c>
      <c r="U98" s="12">
        <v>0</v>
      </c>
      <c r="V98" s="7" t="s">
        <v>578</v>
      </c>
      <c r="W98" s="12">
        <v>0</v>
      </c>
      <c r="X98" s="5" t="s">
        <v>580</v>
      </c>
      <c r="Y98" s="12">
        <v>429.58</v>
      </c>
      <c r="Z98" s="12">
        <v>115.71</v>
      </c>
      <c r="AA98" s="12">
        <v>110.42</v>
      </c>
      <c r="AB98" s="12">
        <v>203.45</v>
      </c>
      <c r="AC98" s="12">
        <v>0</v>
      </c>
      <c r="AD98" s="13">
        <v>49</v>
      </c>
      <c r="AE98" s="5"/>
      <c r="AF98" s="5"/>
      <c r="AG98" s="5">
        <v>0</v>
      </c>
      <c r="AH98" s="5">
        <v>0</v>
      </c>
      <c r="AI98" s="7"/>
      <c r="AJ98" s="5"/>
      <c r="AK98" s="5"/>
      <c r="AL98" s="7">
        <v>46074.936354166668</v>
      </c>
      <c r="AM98" s="7" t="s">
        <v>56</v>
      </c>
      <c r="AN98" s="7" t="s">
        <v>581</v>
      </c>
      <c r="AO98" s="7" t="s">
        <v>58</v>
      </c>
    </row>
    <row r="99" spans="1:41" x14ac:dyDescent="0.25">
      <c r="A99" s="5" t="s">
        <v>42</v>
      </c>
      <c r="B99" s="6" t="s">
        <v>43</v>
      </c>
      <c r="C99" s="5">
        <v>3</v>
      </c>
      <c r="D99" s="5" t="s">
        <v>451</v>
      </c>
      <c r="E99" s="7" t="s">
        <v>74</v>
      </c>
      <c r="F99" s="5">
        <v>19757</v>
      </c>
      <c r="G99" s="8">
        <v>46073</v>
      </c>
      <c r="H99" s="8">
        <v>46073</v>
      </c>
      <c r="I99" s="8">
        <v>46073</v>
      </c>
      <c r="J99" s="8">
        <v>46073</v>
      </c>
      <c r="K99" s="9" t="s">
        <v>187</v>
      </c>
      <c r="L99" s="7" t="s">
        <v>188</v>
      </c>
      <c r="M99" s="5" t="s">
        <v>189</v>
      </c>
      <c r="N99" s="5" t="s">
        <v>49</v>
      </c>
      <c r="O99" s="5" t="s">
        <v>360</v>
      </c>
      <c r="P99" s="7" t="s">
        <v>51</v>
      </c>
      <c r="Q99" s="7" t="s">
        <v>51</v>
      </c>
      <c r="R99" s="10" t="s">
        <v>582</v>
      </c>
      <c r="S99" s="7" t="s">
        <v>583</v>
      </c>
      <c r="T99" s="11">
        <v>22.4</v>
      </c>
      <c r="U99" s="12">
        <v>0</v>
      </c>
      <c r="V99" s="7" t="s">
        <v>584</v>
      </c>
      <c r="W99" s="12">
        <v>0</v>
      </c>
      <c r="X99" s="5" t="s">
        <v>585</v>
      </c>
      <c r="Y99" s="12">
        <v>570.66999999999996</v>
      </c>
      <c r="Z99" s="12">
        <v>202.5</v>
      </c>
      <c r="AA99" s="12">
        <v>193.17</v>
      </c>
      <c r="AB99" s="12">
        <v>175</v>
      </c>
      <c r="AC99" s="12">
        <v>0</v>
      </c>
      <c r="AD99" s="13">
        <v>7</v>
      </c>
      <c r="AE99" s="5"/>
      <c r="AF99" s="5"/>
      <c r="AG99" s="5">
        <v>1</v>
      </c>
      <c r="AH99" s="5">
        <v>1</v>
      </c>
      <c r="AI99" s="7">
        <v>46078.560416666667</v>
      </c>
      <c r="AJ99" s="5" t="s">
        <v>140</v>
      </c>
      <c r="AK99" s="5" t="s">
        <v>196</v>
      </c>
      <c r="AL99" s="7">
        <v>46073.735000000001</v>
      </c>
      <c r="AM99" s="7" t="s">
        <v>140</v>
      </c>
      <c r="AN99" s="7" t="s">
        <v>586</v>
      </c>
      <c r="AO99" s="7" t="s">
        <v>58</v>
      </c>
    </row>
    <row r="100" spans="1:41" x14ac:dyDescent="0.25">
      <c r="A100" s="5" t="s">
        <v>42</v>
      </c>
      <c r="B100" s="6" t="s">
        <v>43</v>
      </c>
      <c r="C100" s="5">
        <v>3</v>
      </c>
      <c r="D100" s="5" t="s">
        <v>451</v>
      </c>
      <c r="E100" s="7" t="s">
        <v>74</v>
      </c>
      <c r="F100" s="5">
        <v>19758</v>
      </c>
      <c r="G100" s="8">
        <v>46073</v>
      </c>
      <c r="H100" s="8">
        <v>46073</v>
      </c>
      <c r="I100" s="8">
        <v>46073</v>
      </c>
      <c r="J100" s="8">
        <v>46073</v>
      </c>
      <c r="K100" s="9" t="s">
        <v>187</v>
      </c>
      <c r="L100" s="7" t="s">
        <v>188</v>
      </c>
      <c r="M100" s="5" t="s">
        <v>189</v>
      </c>
      <c r="N100" s="5" t="s">
        <v>49</v>
      </c>
      <c r="O100" s="5" t="s">
        <v>366</v>
      </c>
      <c r="P100" s="7" t="s">
        <v>51</v>
      </c>
      <c r="Q100" s="7" t="s">
        <v>51</v>
      </c>
      <c r="R100" s="10" t="s">
        <v>587</v>
      </c>
      <c r="S100" s="7" t="s">
        <v>588</v>
      </c>
      <c r="T100" s="11">
        <v>21</v>
      </c>
      <c r="U100" s="12">
        <v>0</v>
      </c>
      <c r="V100" s="7" t="s">
        <v>589</v>
      </c>
      <c r="W100" s="12">
        <v>0</v>
      </c>
      <c r="X100" s="5" t="s">
        <v>58</v>
      </c>
      <c r="Y100" s="12">
        <v>0</v>
      </c>
      <c r="Z100" s="12">
        <v>189.84</v>
      </c>
      <c r="AA100" s="12">
        <v>181.16</v>
      </c>
      <c r="AB100" s="12">
        <v>306.02999999999997</v>
      </c>
      <c r="AC100" s="12">
        <v>0</v>
      </c>
      <c r="AD100" s="13"/>
      <c r="AE100" s="5"/>
      <c r="AF100" s="5"/>
      <c r="AG100" s="5">
        <v>1</v>
      </c>
      <c r="AH100" s="5">
        <v>1</v>
      </c>
      <c r="AI100" s="7">
        <v>46078.561111111114</v>
      </c>
      <c r="AJ100" s="5" t="s">
        <v>140</v>
      </c>
      <c r="AK100" s="5" t="s">
        <v>196</v>
      </c>
      <c r="AL100" s="7">
        <v>46074.914120370369</v>
      </c>
      <c r="AM100" s="7"/>
      <c r="AN100" s="7" t="s">
        <v>365</v>
      </c>
      <c r="AO100" s="7" t="s">
        <v>58</v>
      </c>
    </row>
    <row r="101" spans="1:41" x14ac:dyDescent="0.25">
      <c r="A101" s="5" t="s">
        <v>42</v>
      </c>
      <c r="B101" s="6" t="s">
        <v>43</v>
      </c>
      <c r="C101" s="5">
        <v>3</v>
      </c>
      <c r="D101" s="5" t="s">
        <v>451</v>
      </c>
      <c r="E101" s="7" t="s">
        <v>74</v>
      </c>
      <c r="F101" s="5">
        <v>19805</v>
      </c>
      <c r="G101" s="8">
        <v>46073</v>
      </c>
      <c r="H101" s="8">
        <v>46073</v>
      </c>
      <c r="I101" s="8">
        <v>46073</v>
      </c>
      <c r="J101" s="8">
        <v>46073</v>
      </c>
      <c r="K101" s="9" t="s">
        <v>558</v>
      </c>
      <c r="L101" s="7" t="s">
        <v>559</v>
      </c>
      <c r="M101" s="5" t="s">
        <v>560</v>
      </c>
      <c r="N101" s="5" t="s">
        <v>49</v>
      </c>
      <c r="O101" s="5" t="s">
        <v>111</v>
      </c>
      <c r="P101" s="7" t="s">
        <v>51</v>
      </c>
      <c r="Q101" s="7" t="s">
        <v>51</v>
      </c>
      <c r="R101" s="10" t="s">
        <v>590</v>
      </c>
      <c r="S101" s="7" t="s">
        <v>591</v>
      </c>
      <c r="T101" s="11">
        <v>25.3</v>
      </c>
      <c r="U101" s="12">
        <v>0</v>
      </c>
      <c r="V101" s="7" t="s">
        <v>592</v>
      </c>
      <c r="W101" s="12">
        <v>0</v>
      </c>
      <c r="X101" s="5" t="s">
        <v>593</v>
      </c>
      <c r="Y101" s="12">
        <v>448.67</v>
      </c>
      <c r="Z101" s="12">
        <v>229.62</v>
      </c>
      <c r="AA101" s="12">
        <v>219.05</v>
      </c>
      <c r="AB101" s="12">
        <v>0</v>
      </c>
      <c r="AC101" s="12">
        <v>0</v>
      </c>
      <c r="AD101" s="13">
        <v>19</v>
      </c>
      <c r="AE101" s="5"/>
      <c r="AF101" s="5"/>
      <c r="AG101" s="5">
        <v>0</v>
      </c>
      <c r="AH101" s="5">
        <v>0</v>
      </c>
      <c r="AI101" s="7"/>
      <c r="AJ101" s="5"/>
      <c r="AK101" s="5"/>
      <c r="AL101" s="7">
        <v>46073.758159722223</v>
      </c>
      <c r="AM101" s="7" t="s">
        <v>140</v>
      </c>
      <c r="AN101" s="7" t="s">
        <v>594</v>
      </c>
      <c r="AO101" s="7" t="s">
        <v>58</v>
      </c>
    </row>
    <row r="102" spans="1:41" x14ac:dyDescent="0.25">
      <c r="A102" s="5" t="s">
        <v>42</v>
      </c>
      <c r="B102" s="6" t="s">
        <v>43</v>
      </c>
      <c r="C102" s="5">
        <v>3</v>
      </c>
      <c r="D102" s="5" t="s">
        <v>451</v>
      </c>
      <c r="E102" s="7" t="s">
        <v>74</v>
      </c>
      <c r="F102" s="5">
        <v>19806</v>
      </c>
      <c r="G102" s="8">
        <v>46073</v>
      </c>
      <c r="H102" s="8">
        <v>46073</v>
      </c>
      <c r="I102" s="8">
        <v>46073</v>
      </c>
      <c r="J102" s="8">
        <v>46073</v>
      </c>
      <c r="K102" s="9" t="s">
        <v>558</v>
      </c>
      <c r="L102" s="7" t="s">
        <v>559</v>
      </c>
      <c r="M102" s="5" t="s">
        <v>560</v>
      </c>
      <c r="N102" s="5" t="s">
        <v>49</v>
      </c>
      <c r="O102" s="5" t="s">
        <v>117</v>
      </c>
      <c r="P102" s="7" t="s">
        <v>51</v>
      </c>
      <c r="Q102" s="7" t="s">
        <v>51</v>
      </c>
      <c r="R102" s="10" t="s">
        <v>595</v>
      </c>
      <c r="S102" s="7" t="s">
        <v>596</v>
      </c>
      <c r="T102" s="11">
        <v>37</v>
      </c>
      <c r="U102" s="12">
        <v>0</v>
      </c>
      <c r="V102" s="7" t="s">
        <v>595</v>
      </c>
      <c r="W102" s="12">
        <v>0</v>
      </c>
      <c r="X102" s="5" t="s">
        <v>597</v>
      </c>
      <c r="Y102" s="12">
        <v>959.7</v>
      </c>
      <c r="Z102" s="12">
        <v>334.48</v>
      </c>
      <c r="AA102" s="12">
        <v>319.19</v>
      </c>
      <c r="AB102" s="12">
        <v>306.02999999999997</v>
      </c>
      <c r="AC102" s="12">
        <v>0</v>
      </c>
      <c r="AD102" s="13">
        <v>13</v>
      </c>
      <c r="AE102" s="5"/>
      <c r="AF102" s="5"/>
      <c r="AG102" s="5">
        <v>0</v>
      </c>
      <c r="AH102" s="5">
        <v>0</v>
      </c>
      <c r="AI102" s="7"/>
      <c r="AJ102" s="5"/>
      <c r="AK102" s="5"/>
      <c r="AL102" s="7">
        <v>46074.913518518515</v>
      </c>
      <c r="AM102" s="7" t="s">
        <v>56</v>
      </c>
      <c r="AN102" s="7" t="s">
        <v>598</v>
      </c>
      <c r="AO102" s="7" t="s">
        <v>58</v>
      </c>
    </row>
    <row r="103" spans="1:41" x14ac:dyDescent="0.25">
      <c r="A103" s="5" t="s">
        <v>42</v>
      </c>
      <c r="B103" s="6" t="s">
        <v>43</v>
      </c>
      <c r="C103" s="5">
        <v>3</v>
      </c>
      <c r="D103" s="5" t="s">
        <v>451</v>
      </c>
      <c r="E103" s="7" t="s">
        <v>93</v>
      </c>
      <c r="F103" s="5">
        <v>19942</v>
      </c>
      <c r="G103" s="8">
        <v>46073</v>
      </c>
      <c r="H103" s="8">
        <v>46073</v>
      </c>
      <c r="I103" s="8">
        <v>46073</v>
      </c>
      <c r="J103" s="8">
        <v>46073</v>
      </c>
      <c r="K103" s="9" t="s">
        <v>572</v>
      </c>
      <c r="L103" s="7" t="s">
        <v>76</v>
      </c>
      <c r="M103" s="5" t="s">
        <v>77</v>
      </c>
      <c r="N103" s="5" t="s">
        <v>49</v>
      </c>
      <c r="O103" s="5" t="s">
        <v>78</v>
      </c>
      <c r="P103" s="7" t="s">
        <v>51</v>
      </c>
      <c r="Q103" s="7" t="s">
        <v>51</v>
      </c>
      <c r="R103" s="10" t="s">
        <v>599</v>
      </c>
      <c r="S103" s="7" t="s">
        <v>600</v>
      </c>
      <c r="T103" s="11">
        <v>14.5</v>
      </c>
      <c r="U103" s="12">
        <v>0</v>
      </c>
      <c r="V103" s="7" t="s">
        <v>601</v>
      </c>
      <c r="W103" s="12">
        <v>0</v>
      </c>
      <c r="X103" s="5" t="s">
        <v>602</v>
      </c>
      <c r="Y103" s="12">
        <v>431.18</v>
      </c>
      <c r="Z103" s="12">
        <v>131.08000000000001</v>
      </c>
      <c r="AA103" s="12">
        <v>125.1</v>
      </c>
      <c r="AB103" s="12">
        <v>175</v>
      </c>
      <c r="AC103" s="12">
        <v>0</v>
      </c>
      <c r="AD103" s="13"/>
      <c r="AE103" s="5"/>
      <c r="AF103" s="5"/>
      <c r="AG103" s="5">
        <v>0</v>
      </c>
      <c r="AH103" s="5">
        <v>0</v>
      </c>
      <c r="AI103" s="7"/>
      <c r="AJ103" s="5"/>
      <c r="AK103" s="5"/>
      <c r="AL103" s="7">
        <v>46073.759432870371</v>
      </c>
      <c r="AM103" s="7" t="s">
        <v>140</v>
      </c>
      <c r="AN103" s="7" t="s">
        <v>603</v>
      </c>
      <c r="AO103" s="7" t="s">
        <v>58</v>
      </c>
    </row>
    <row r="104" spans="1:41" x14ac:dyDescent="0.25">
      <c r="A104" s="5" t="s">
        <v>42</v>
      </c>
      <c r="B104" s="6" t="s">
        <v>43</v>
      </c>
      <c r="C104" s="5">
        <v>3</v>
      </c>
      <c r="D104" s="5" t="s">
        <v>451</v>
      </c>
      <c r="E104" s="7" t="s">
        <v>93</v>
      </c>
      <c r="F104" s="5">
        <v>19943</v>
      </c>
      <c r="G104" s="8">
        <v>46073</v>
      </c>
      <c r="H104" s="8">
        <v>46073</v>
      </c>
      <c r="I104" s="8">
        <v>46073</v>
      </c>
      <c r="J104" s="8">
        <v>46073</v>
      </c>
      <c r="K104" s="9" t="s">
        <v>572</v>
      </c>
      <c r="L104" s="7" t="s">
        <v>76</v>
      </c>
      <c r="M104" s="5" t="s">
        <v>77</v>
      </c>
      <c r="N104" s="5" t="s">
        <v>49</v>
      </c>
      <c r="O104" s="5" t="s">
        <v>87</v>
      </c>
      <c r="P104" s="7" t="s">
        <v>51</v>
      </c>
      <c r="Q104" s="7" t="s">
        <v>51</v>
      </c>
      <c r="R104" s="10" t="s">
        <v>604</v>
      </c>
      <c r="S104" s="7" t="s">
        <v>605</v>
      </c>
      <c r="T104" s="11">
        <v>12.8</v>
      </c>
      <c r="U104" s="12">
        <v>0</v>
      </c>
      <c r="V104" s="7" t="s">
        <v>604</v>
      </c>
      <c r="W104" s="12">
        <v>0</v>
      </c>
      <c r="X104" s="5" t="s">
        <v>58</v>
      </c>
      <c r="Y104" s="12">
        <v>0</v>
      </c>
      <c r="Z104" s="12">
        <v>115.71</v>
      </c>
      <c r="AA104" s="12">
        <v>110.42</v>
      </c>
      <c r="AB104" s="12">
        <v>203.45</v>
      </c>
      <c r="AC104" s="12">
        <v>0</v>
      </c>
      <c r="AD104" s="13"/>
      <c r="AE104" s="5"/>
      <c r="AF104" s="5"/>
      <c r="AG104" s="5">
        <v>0</v>
      </c>
      <c r="AH104" s="5">
        <v>0</v>
      </c>
      <c r="AI104" s="7"/>
      <c r="AJ104" s="5"/>
      <c r="AK104" s="5"/>
      <c r="AL104" s="7">
        <v>46074.936215277776</v>
      </c>
      <c r="AM104" s="7"/>
      <c r="AN104" s="7" t="s">
        <v>581</v>
      </c>
      <c r="AO104" s="7" t="s">
        <v>58</v>
      </c>
    </row>
    <row r="105" spans="1:41" x14ac:dyDescent="0.25">
      <c r="A105" s="5" t="s">
        <v>42</v>
      </c>
      <c r="B105" s="6" t="s">
        <v>43</v>
      </c>
      <c r="C105" s="5">
        <v>3</v>
      </c>
      <c r="D105" s="5" t="s">
        <v>451</v>
      </c>
      <c r="E105" s="7" t="s">
        <v>93</v>
      </c>
      <c r="F105" s="5">
        <v>19982</v>
      </c>
      <c r="G105" s="8">
        <v>46073</v>
      </c>
      <c r="H105" s="8">
        <v>46073</v>
      </c>
      <c r="I105" s="8">
        <v>46073</v>
      </c>
      <c r="J105" s="8">
        <v>46073</v>
      </c>
      <c r="K105" s="9" t="s">
        <v>108</v>
      </c>
      <c r="L105" s="7" t="s">
        <v>606</v>
      </c>
      <c r="M105" s="5" t="s">
        <v>607</v>
      </c>
      <c r="N105" s="5" t="s">
        <v>49</v>
      </c>
      <c r="O105" s="5" t="s">
        <v>111</v>
      </c>
      <c r="P105" s="7" t="s">
        <v>51</v>
      </c>
      <c r="Q105" s="7" t="s">
        <v>51</v>
      </c>
      <c r="R105" s="10" t="s">
        <v>608</v>
      </c>
      <c r="S105" s="7" t="s">
        <v>609</v>
      </c>
      <c r="T105" s="11">
        <v>25.3</v>
      </c>
      <c r="U105" s="12">
        <v>0</v>
      </c>
      <c r="V105" s="7" t="s">
        <v>610</v>
      </c>
      <c r="W105" s="12">
        <v>0</v>
      </c>
      <c r="X105" s="5" t="s">
        <v>611</v>
      </c>
      <c r="Y105" s="12">
        <v>448.67</v>
      </c>
      <c r="Z105" s="12">
        <v>229.62</v>
      </c>
      <c r="AA105" s="12">
        <v>219.05</v>
      </c>
      <c r="AB105" s="12">
        <v>0</v>
      </c>
      <c r="AC105" s="12">
        <v>0</v>
      </c>
      <c r="AD105" s="13">
        <v>47</v>
      </c>
      <c r="AE105" s="5"/>
      <c r="AF105" s="5"/>
      <c r="AG105" s="5">
        <v>0</v>
      </c>
      <c r="AH105" s="5">
        <v>0</v>
      </c>
      <c r="AI105" s="7"/>
      <c r="AJ105" s="5"/>
      <c r="AK105" s="5"/>
      <c r="AL105" s="7">
        <v>46073.75986111111</v>
      </c>
      <c r="AM105" s="7" t="s">
        <v>140</v>
      </c>
      <c r="AN105" s="7" t="s">
        <v>612</v>
      </c>
      <c r="AO105" s="7" t="s">
        <v>58</v>
      </c>
    </row>
    <row r="106" spans="1:41" x14ac:dyDescent="0.25">
      <c r="A106" s="5" t="s">
        <v>42</v>
      </c>
      <c r="B106" s="6" t="s">
        <v>43</v>
      </c>
      <c r="C106" s="5">
        <v>3</v>
      </c>
      <c r="D106" s="5" t="s">
        <v>451</v>
      </c>
      <c r="E106" s="7" t="s">
        <v>93</v>
      </c>
      <c r="F106" s="5">
        <v>19983</v>
      </c>
      <c r="G106" s="8">
        <v>46073</v>
      </c>
      <c r="H106" s="8">
        <v>46073</v>
      </c>
      <c r="I106" s="8">
        <v>46073</v>
      </c>
      <c r="J106" s="8">
        <v>46073</v>
      </c>
      <c r="K106" s="9" t="s">
        <v>108</v>
      </c>
      <c r="L106" s="7" t="s">
        <v>606</v>
      </c>
      <c r="M106" s="5" t="s">
        <v>607</v>
      </c>
      <c r="N106" s="5" t="s">
        <v>49</v>
      </c>
      <c r="O106" s="5" t="s">
        <v>117</v>
      </c>
      <c r="P106" s="7" t="s">
        <v>51</v>
      </c>
      <c r="Q106" s="7" t="s">
        <v>51</v>
      </c>
      <c r="R106" s="10" t="s">
        <v>613</v>
      </c>
      <c r="S106" s="7" t="s">
        <v>614</v>
      </c>
      <c r="T106" s="11">
        <v>37</v>
      </c>
      <c r="U106" s="12">
        <v>0</v>
      </c>
      <c r="V106" s="7" t="s">
        <v>613</v>
      </c>
      <c r="W106" s="12">
        <v>0</v>
      </c>
      <c r="X106" s="5" t="s">
        <v>615</v>
      </c>
      <c r="Y106" s="12">
        <v>959.7</v>
      </c>
      <c r="Z106" s="12">
        <v>334.48</v>
      </c>
      <c r="AA106" s="12">
        <v>319.19</v>
      </c>
      <c r="AB106" s="12">
        <v>306.02999999999997</v>
      </c>
      <c r="AC106" s="12">
        <v>0</v>
      </c>
      <c r="AD106" s="13">
        <v>66</v>
      </c>
      <c r="AE106" s="5"/>
      <c r="AF106" s="5"/>
      <c r="AG106" s="5">
        <v>0</v>
      </c>
      <c r="AH106" s="5">
        <v>0</v>
      </c>
      <c r="AI106" s="7"/>
      <c r="AJ106" s="5"/>
      <c r="AK106" s="5"/>
      <c r="AL106" s="7">
        <v>46074.935601851852</v>
      </c>
      <c r="AM106" s="7" t="s">
        <v>56</v>
      </c>
      <c r="AN106" s="7" t="s">
        <v>616</v>
      </c>
      <c r="AO106" s="7" t="s">
        <v>58</v>
      </c>
    </row>
    <row r="107" spans="1:41" x14ac:dyDescent="0.25">
      <c r="A107" s="5" t="s">
        <v>42</v>
      </c>
      <c r="B107" s="6" t="s">
        <v>43</v>
      </c>
      <c r="C107" s="5">
        <v>4</v>
      </c>
      <c r="D107" s="5" t="s">
        <v>44</v>
      </c>
      <c r="E107" s="7" t="s">
        <v>93</v>
      </c>
      <c r="F107" s="5">
        <v>19996</v>
      </c>
      <c r="G107" s="8">
        <v>46073</v>
      </c>
      <c r="H107" s="8">
        <v>46073</v>
      </c>
      <c r="I107" s="8">
        <v>46073</v>
      </c>
      <c r="J107" s="8">
        <v>46073</v>
      </c>
      <c r="K107" s="9" t="s">
        <v>617</v>
      </c>
      <c r="L107" s="7" t="s">
        <v>618</v>
      </c>
      <c r="M107" s="5" t="s">
        <v>619</v>
      </c>
      <c r="N107" s="5" t="s">
        <v>49</v>
      </c>
      <c r="O107" s="5" t="s">
        <v>78</v>
      </c>
      <c r="P107" s="7" t="s">
        <v>51</v>
      </c>
      <c r="Q107" s="7" t="s">
        <v>51</v>
      </c>
      <c r="R107" s="10" t="s">
        <v>620</v>
      </c>
      <c r="S107" s="7" t="s">
        <v>621</v>
      </c>
      <c r="T107" s="11">
        <v>14.5</v>
      </c>
      <c r="U107" s="12">
        <v>0</v>
      </c>
      <c r="V107" s="7" t="s">
        <v>622</v>
      </c>
      <c r="W107" s="12">
        <v>0</v>
      </c>
      <c r="X107" s="5" t="s">
        <v>623</v>
      </c>
      <c r="Y107" s="12">
        <v>431.18</v>
      </c>
      <c r="Z107" s="12">
        <v>131.08000000000001</v>
      </c>
      <c r="AA107" s="12">
        <v>125.1</v>
      </c>
      <c r="AB107" s="12">
        <v>175</v>
      </c>
      <c r="AC107" s="12">
        <v>0</v>
      </c>
      <c r="AD107" s="13">
        <v>62</v>
      </c>
      <c r="AE107" s="5"/>
      <c r="AF107" s="5"/>
      <c r="AG107" s="5">
        <v>0</v>
      </c>
      <c r="AH107" s="5">
        <v>0</v>
      </c>
      <c r="AI107" s="7"/>
      <c r="AJ107" s="5"/>
      <c r="AK107" s="5"/>
      <c r="AL107" s="7">
        <v>46074.971041666664</v>
      </c>
      <c r="AM107" s="7" t="s">
        <v>56</v>
      </c>
      <c r="AN107" s="7" t="s">
        <v>624</v>
      </c>
      <c r="AO107" s="7" t="s">
        <v>625</v>
      </c>
    </row>
    <row r="108" spans="1:41" x14ac:dyDescent="0.25">
      <c r="A108" s="5" t="s">
        <v>42</v>
      </c>
      <c r="B108" s="6" t="s">
        <v>43</v>
      </c>
      <c r="C108" s="5">
        <v>4</v>
      </c>
      <c r="D108" s="5" t="s">
        <v>44</v>
      </c>
      <c r="E108" s="7" t="s">
        <v>93</v>
      </c>
      <c r="F108" s="5">
        <v>19997</v>
      </c>
      <c r="G108" s="8">
        <v>46073</v>
      </c>
      <c r="H108" s="8">
        <v>46073</v>
      </c>
      <c r="I108" s="8">
        <v>46073</v>
      </c>
      <c r="J108" s="8">
        <v>46073</v>
      </c>
      <c r="K108" s="9" t="s">
        <v>617</v>
      </c>
      <c r="L108" s="7" t="s">
        <v>618</v>
      </c>
      <c r="M108" s="5" t="s">
        <v>619</v>
      </c>
      <c r="N108" s="5" t="s">
        <v>49</v>
      </c>
      <c r="O108" s="5" t="s">
        <v>87</v>
      </c>
      <c r="P108" s="7" t="s">
        <v>51</v>
      </c>
      <c r="Q108" s="7" t="s">
        <v>51</v>
      </c>
      <c r="R108" s="10" t="s">
        <v>626</v>
      </c>
      <c r="S108" s="7" t="s">
        <v>627</v>
      </c>
      <c r="T108" s="11">
        <v>12.8</v>
      </c>
      <c r="U108" s="12">
        <v>0</v>
      </c>
      <c r="V108" s="7" t="s">
        <v>626</v>
      </c>
      <c r="W108" s="12">
        <v>0</v>
      </c>
      <c r="X108" s="5" t="s">
        <v>628</v>
      </c>
      <c r="Y108" s="12">
        <v>429.58</v>
      </c>
      <c r="Z108" s="12">
        <v>115.71</v>
      </c>
      <c r="AA108" s="12">
        <v>110.42</v>
      </c>
      <c r="AB108" s="12">
        <v>203.45</v>
      </c>
      <c r="AC108" s="12">
        <v>0</v>
      </c>
      <c r="AD108" s="13">
        <v>53</v>
      </c>
      <c r="AE108" s="5"/>
      <c r="AF108" s="5"/>
      <c r="AG108" s="5">
        <v>0</v>
      </c>
      <c r="AH108" s="5">
        <v>0</v>
      </c>
      <c r="AI108" s="7"/>
      <c r="AJ108" s="5"/>
      <c r="AK108" s="5"/>
      <c r="AL108" s="7">
        <v>46074.937615740739</v>
      </c>
      <c r="AM108" s="7" t="s">
        <v>56</v>
      </c>
      <c r="AN108" s="7" t="s">
        <v>629</v>
      </c>
      <c r="AO108" s="7" t="s">
        <v>58</v>
      </c>
    </row>
    <row r="109" spans="1:41" x14ac:dyDescent="0.25">
      <c r="A109" s="5" t="s">
        <v>42</v>
      </c>
      <c r="B109" s="6" t="s">
        <v>43</v>
      </c>
      <c r="C109" s="5">
        <v>4</v>
      </c>
      <c r="D109" s="5" t="s">
        <v>44</v>
      </c>
      <c r="E109" s="7" t="s">
        <v>93</v>
      </c>
      <c r="F109" s="5">
        <v>19998</v>
      </c>
      <c r="G109" s="8">
        <v>46073</v>
      </c>
      <c r="H109" s="8">
        <v>46073</v>
      </c>
      <c r="I109" s="8">
        <v>46073</v>
      </c>
      <c r="J109" s="8">
        <v>46073</v>
      </c>
      <c r="K109" s="9" t="s">
        <v>617</v>
      </c>
      <c r="L109" s="7" t="s">
        <v>618</v>
      </c>
      <c r="M109" s="5" t="s">
        <v>619</v>
      </c>
      <c r="N109" s="5" t="s">
        <v>49</v>
      </c>
      <c r="O109" s="5" t="s">
        <v>78</v>
      </c>
      <c r="P109" s="7" t="s">
        <v>51</v>
      </c>
      <c r="Q109" s="7" t="s">
        <v>51</v>
      </c>
      <c r="R109" s="10" t="s">
        <v>630</v>
      </c>
      <c r="S109" s="7" t="s">
        <v>631</v>
      </c>
      <c r="T109" s="11">
        <v>14.5</v>
      </c>
      <c r="U109" s="12">
        <v>0</v>
      </c>
      <c r="V109" s="7" t="s">
        <v>632</v>
      </c>
      <c r="W109" s="12">
        <v>0</v>
      </c>
      <c r="X109" s="5" t="s">
        <v>633</v>
      </c>
      <c r="Y109" s="12">
        <v>431.18</v>
      </c>
      <c r="Z109" s="12">
        <v>131.08000000000001</v>
      </c>
      <c r="AA109" s="12">
        <v>125.1</v>
      </c>
      <c r="AB109" s="12">
        <v>175</v>
      </c>
      <c r="AC109" s="12">
        <v>0</v>
      </c>
      <c r="AD109" s="13">
        <v>69</v>
      </c>
      <c r="AE109" s="5"/>
      <c r="AF109" s="5"/>
      <c r="AG109" s="5">
        <v>0</v>
      </c>
      <c r="AH109" s="5">
        <v>0</v>
      </c>
      <c r="AI109" s="7"/>
      <c r="AJ109" s="5"/>
      <c r="AK109" s="5"/>
      <c r="AL109" s="7">
        <v>46074.970902777779</v>
      </c>
      <c r="AM109" s="7" t="s">
        <v>56</v>
      </c>
      <c r="AN109" s="7" t="s">
        <v>634</v>
      </c>
      <c r="AO109" s="7" t="s">
        <v>625</v>
      </c>
    </row>
    <row r="110" spans="1:41" x14ac:dyDescent="0.25">
      <c r="A110" s="5" t="s">
        <v>42</v>
      </c>
      <c r="B110" s="6" t="s">
        <v>43</v>
      </c>
      <c r="C110" s="5">
        <v>4</v>
      </c>
      <c r="D110" s="5" t="s">
        <v>44</v>
      </c>
      <c r="E110" s="7" t="s">
        <v>93</v>
      </c>
      <c r="F110" s="5">
        <v>19999</v>
      </c>
      <c r="G110" s="8">
        <v>46073</v>
      </c>
      <c r="H110" s="8">
        <v>46073</v>
      </c>
      <c r="I110" s="8">
        <v>46073</v>
      </c>
      <c r="J110" s="8">
        <v>46073</v>
      </c>
      <c r="K110" s="9" t="s">
        <v>617</v>
      </c>
      <c r="L110" s="7" t="s">
        <v>618</v>
      </c>
      <c r="M110" s="5" t="s">
        <v>619</v>
      </c>
      <c r="N110" s="5" t="s">
        <v>49</v>
      </c>
      <c r="O110" s="5" t="s">
        <v>87</v>
      </c>
      <c r="P110" s="7" t="s">
        <v>51</v>
      </c>
      <c r="Q110" s="7" t="s">
        <v>51</v>
      </c>
      <c r="R110" s="10" t="s">
        <v>635</v>
      </c>
      <c r="S110" s="7" t="s">
        <v>636</v>
      </c>
      <c r="T110" s="11">
        <v>12.8</v>
      </c>
      <c r="U110" s="12">
        <v>0</v>
      </c>
      <c r="V110" s="7" t="s">
        <v>635</v>
      </c>
      <c r="W110" s="12">
        <v>0</v>
      </c>
      <c r="X110" s="5" t="s">
        <v>637</v>
      </c>
      <c r="Y110" s="12">
        <v>429.58</v>
      </c>
      <c r="Z110" s="12">
        <v>115.71</v>
      </c>
      <c r="AA110" s="12">
        <v>110.42</v>
      </c>
      <c r="AB110" s="12">
        <v>203.45</v>
      </c>
      <c r="AC110" s="12">
        <v>0</v>
      </c>
      <c r="AD110" s="13">
        <v>53</v>
      </c>
      <c r="AE110" s="5"/>
      <c r="AF110" s="5"/>
      <c r="AG110" s="5">
        <v>0</v>
      </c>
      <c r="AH110" s="5">
        <v>0</v>
      </c>
      <c r="AI110" s="7"/>
      <c r="AJ110" s="5"/>
      <c r="AK110" s="5"/>
      <c r="AL110" s="7">
        <v>46074.937488425923</v>
      </c>
      <c r="AM110" s="7" t="s">
        <v>56</v>
      </c>
      <c r="AN110" s="7" t="s">
        <v>638</v>
      </c>
      <c r="AO110" s="7" t="s">
        <v>58</v>
      </c>
    </row>
    <row r="111" spans="1:41" x14ac:dyDescent="0.25">
      <c r="A111" s="5" t="s">
        <v>42</v>
      </c>
      <c r="B111" s="6" t="s">
        <v>43</v>
      </c>
      <c r="C111" s="5">
        <v>3</v>
      </c>
      <c r="D111" s="5" t="s">
        <v>451</v>
      </c>
      <c r="E111" s="7" t="s">
        <v>339</v>
      </c>
      <c r="F111" s="5">
        <v>20061</v>
      </c>
      <c r="G111" s="8">
        <v>46073</v>
      </c>
      <c r="H111" s="8">
        <v>46073</v>
      </c>
      <c r="I111" s="8">
        <v>46073</v>
      </c>
      <c r="J111" s="8">
        <v>46073</v>
      </c>
      <c r="K111" s="9" t="s">
        <v>108</v>
      </c>
      <c r="L111" s="7" t="s">
        <v>606</v>
      </c>
      <c r="M111" s="5" t="s">
        <v>607</v>
      </c>
      <c r="N111" s="5" t="s">
        <v>49</v>
      </c>
      <c r="O111" s="5" t="s">
        <v>111</v>
      </c>
      <c r="P111" s="7" t="s">
        <v>51</v>
      </c>
      <c r="Q111" s="7" t="s">
        <v>51</v>
      </c>
      <c r="R111" s="10" t="s">
        <v>639</v>
      </c>
      <c r="S111" s="7" t="s">
        <v>640</v>
      </c>
      <c r="T111" s="11">
        <v>25.3</v>
      </c>
      <c r="U111" s="12">
        <v>0</v>
      </c>
      <c r="V111" s="7" t="s">
        <v>641</v>
      </c>
      <c r="W111" s="12">
        <v>0</v>
      </c>
      <c r="X111" s="5" t="s">
        <v>642</v>
      </c>
      <c r="Y111" s="12">
        <v>448.67</v>
      </c>
      <c r="Z111" s="12">
        <v>229.62</v>
      </c>
      <c r="AA111" s="12">
        <v>219.05</v>
      </c>
      <c r="AB111" s="12">
        <v>0</v>
      </c>
      <c r="AC111" s="12">
        <v>0</v>
      </c>
      <c r="AD111" s="13">
        <v>1</v>
      </c>
      <c r="AE111" s="5"/>
      <c r="AF111" s="5"/>
      <c r="AG111" s="5">
        <v>0</v>
      </c>
      <c r="AH111" s="5">
        <v>0</v>
      </c>
      <c r="AI111" s="7"/>
      <c r="AJ111" s="5"/>
      <c r="AK111" s="5"/>
      <c r="AL111" s="7">
        <v>46073.772743055553</v>
      </c>
      <c r="AM111" s="7" t="s">
        <v>140</v>
      </c>
      <c r="AN111" s="7" t="s">
        <v>643</v>
      </c>
      <c r="AO111" s="7" t="s">
        <v>58</v>
      </c>
    </row>
    <row r="112" spans="1:41" x14ac:dyDescent="0.25">
      <c r="A112" s="5" t="s">
        <v>42</v>
      </c>
      <c r="B112" s="6" t="s">
        <v>43</v>
      </c>
      <c r="C112" s="5">
        <v>3</v>
      </c>
      <c r="D112" s="5" t="s">
        <v>451</v>
      </c>
      <c r="E112" s="7" t="s">
        <v>339</v>
      </c>
      <c r="F112" s="5">
        <v>20063</v>
      </c>
      <c r="G112" s="8">
        <v>46073</v>
      </c>
      <c r="H112" s="8">
        <v>46073</v>
      </c>
      <c r="I112" s="8">
        <v>46073</v>
      </c>
      <c r="J112" s="8">
        <v>46073</v>
      </c>
      <c r="K112" s="9" t="s">
        <v>108</v>
      </c>
      <c r="L112" s="7" t="s">
        <v>606</v>
      </c>
      <c r="M112" s="5" t="s">
        <v>607</v>
      </c>
      <c r="N112" s="5" t="s">
        <v>49</v>
      </c>
      <c r="O112" s="5" t="s">
        <v>117</v>
      </c>
      <c r="P112" s="7" t="s">
        <v>51</v>
      </c>
      <c r="Q112" s="7" t="s">
        <v>51</v>
      </c>
      <c r="R112" s="10" t="s">
        <v>644</v>
      </c>
      <c r="S112" s="7" t="s">
        <v>645</v>
      </c>
      <c r="T112" s="11">
        <v>37</v>
      </c>
      <c r="U112" s="12">
        <v>0</v>
      </c>
      <c r="V112" s="7" t="s">
        <v>644</v>
      </c>
      <c r="W112" s="12">
        <v>0</v>
      </c>
      <c r="X112" s="5" t="s">
        <v>646</v>
      </c>
      <c r="Y112" s="12">
        <v>959.7</v>
      </c>
      <c r="Z112" s="12">
        <v>334.48</v>
      </c>
      <c r="AA112" s="12">
        <v>319.19</v>
      </c>
      <c r="AB112" s="12">
        <v>306.02999999999997</v>
      </c>
      <c r="AC112" s="12">
        <v>0</v>
      </c>
      <c r="AD112" s="13">
        <v>54</v>
      </c>
      <c r="AE112" s="5"/>
      <c r="AF112" s="5"/>
      <c r="AG112" s="5">
        <v>0</v>
      </c>
      <c r="AH112" s="5">
        <v>0</v>
      </c>
      <c r="AI112" s="7"/>
      <c r="AJ112" s="5"/>
      <c r="AK112" s="5"/>
      <c r="AL112" s="7">
        <v>46074.935717592591</v>
      </c>
      <c r="AM112" s="7" t="s">
        <v>56</v>
      </c>
      <c r="AN112" s="7" t="s">
        <v>616</v>
      </c>
      <c r="AO112" s="7" t="s">
        <v>58</v>
      </c>
    </row>
    <row r="113" spans="1:41" x14ac:dyDescent="0.25">
      <c r="A113" s="5" t="s">
        <v>42</v>
      </c>
      <c r="B113" s="6" t="s">
        <v>43</v>
      </c>
      <c r="C113" s="5">
        <v>3</v>
      </c>
      <c r="D113" s="5" t="s">
        <v>451</v>
      </c>
      <c r="E113" s="7" t="s">
        <v>93</v>
      </c>
      <c r="F113" s="5">
        <v>19646</v>
      </c>
      <c r="G113" s="8">
        <v>46074</v>
      </c>
      <c r="H113" s="8">
        <v>46074</v>
      </c>
      <c r="I113" s="8">
        <v>46074</v>
      </c>
      <c r="J113" s="8">
        <v>46074</v>
      </c>
      <c r="K113" s="9" t="s">
        <v>187</v>
      </c>
      <c r="L113" s="7" t="s">
        <v>188</v>
      </c>
      <c r="M113" s="5" t="s">
        <v>189</v>
      </c>
      <c r="N113" s="5" t="s">
        <v>49</v>
      </c>
      <c r="O113" s="5" t="s">
        <v>647</v>
      </c>
      <c r="P113" s="7" t="s">
        <v>51</v>
      </c>
      <c r="Q113" s="7" t="s">
        <v>648</v>
      </c>
      <c r="R113" s="10" t="s">
        <v>649</v>
      </c>
      <c r="S113" s="7" t="s">
        <v>650</v>
      </c>
      <c r="T113" s="11">
        <v>9.1</v>
      </c>
      <c r="U113" s="12">
        <v>0</v>
      </c>
      <c r="V113" s="7" t="s">
        <v>651</v>
      </c>
      <c r="W113" s="12">
        <v>0</v>
      </c>
      <c r="X113" s="5" t="s">
        <v>652</v>
      </c>
      <c r="Y113" s="12">
        <v>160.68</v>
      </c>
      <c r="Z113" s="12">
        <v>82.26</v>
      </c>
      <c r="AA113" s="12">
        <v>78.42</v>
      </c>
      <c r="AB113" s="12">
        <v>0</v>
      </c>
      <c r="AC113" s="12">
        <v>0</v>
      </c>
      <c r="AD113" s="13">
        <v>7</v>
      </c>
      <c r="AE113" s="5"/>
      <c r="AF113" s="5"/>
      <c r="AG113" s="5">
        <v>0</v>
      </c>
      <c r="AH113" s="5">
        <v>0</v>
      </c>
      <c r="AI113" s="7"/>
      <c r="AJ113" s="5"/>
      <c r="AK113" s="5"/>
      <c r="AL113" s="7">
        <v>46074.975810185184</v>
      </c>
      <c r="AM113" s="7" t="s">
        <v>56</v>
      </c>
      <c r="AN113" s="7" t="s">
        <v>653</v>
      </c>
      <c r="AO113" s="7" t="s">
        <v>58</v>
      </c>
    </row>
    <row r="114" spans="1:41" x14ac:dyDescent="0.25">
      <c r="A114" s="5" t="s">
        <v>42</v>
      </c>
      <c r="B114" s="6" t="s">
        <v>43</v>
      </c>
      <c r="C114" s="5">
        <v>3</v>
      </c>
      <c r="D114" s="5" t="s">
        <v>451</v>
      </c>
      <c r="E114" s="7" t="s">
        <v>93</v>
      </c>
      <c r="F114" s="5">
        <v>19647</v>
      </c>
      <c r="G114" s="8">
        <v>46074</v>
      </c>
      <c r="H114" s="8">
        <v>46074</v>
      </c>
      <c r="I114" s="8">
        <v>46074</v>
      </c>
      <c r="J114" s="8">
        <v>46074</v>
      </c>
      <c r="K114" s="9" t="s">
        <v>187</v>
      </c>
      <c r="L114" s="7" t="s">
        <v>188</v>
      </c>
      <c r="M114" s="5" t="s">
        <v>189</v>
      </c>
      <c r="N114" s="5" t="s">
        <v>49</v>
      </c>
      <c r="O114" s="5" t="s">
        <v>654</v>
      </c>
      <c r="P114" s="7" t="s">
        <v>51</v>
      </c>
      <c r="Q114" s="7" t="s">
        <v>51</v>
      </c>
      <c r="R114" s="10" t="s">
        <v>655</v>
      </c>
      <c r="S114" s="7" t="s">
        <v>656</v>
      </c>
      <c r="T114" s="11">
        <v>12.5</v>
      </c>
      <c r="U114" s="12">
        <v>0</v>
      </c>
      <c r="V114" s="7" t="s">
        <v>655</v>
      </c>
      <c r="W114" s="12">
        <v>0</v>
      </c>
      <c r="X114" s="5" t="s">
        <v>657</v>
      </c>
      <c r="Y114" s="12">
        <v>220.7</v>
      </c>
      <c r="Z114" s="12">
        <v>113</v>
      </c>
      <c r="AA114" s="12">
        <v>107.7</v>
      </c>
      <c r="AB114" s="12">
        <v>0</v>
      </c>
      <c r="AC114" s="12">
        <v>0</v>
      </c>
      <c r="AD114" s="13"/>
      <c r="AE114" s="5"/>
      <c r="AF114" s="5"/>
      <c r="AG114" s="5">
        <v>0</v>
      </c>
      <c r="AH114" s="5">
        <v>0</v>
      </c>
      <c r="AI114" s="7"/>
      <c r="AJ114" s="5"/>
      <c r="AK114" s="5"/>
      <c r="AL114" s="7">
        <v>46076.753101851849</v>
      </c>
      <c r="AM114" s="7" t="s">
        <v>197</v>
      </c>
      <c r="AN114" s="7" t="s">
        <v>658</v>
      </c>
      <c r="AO114" s="7" t="s">
        <v>58</v>
      </c>
    </row>
    <row r="115" spans="1:41" x14ac:dyDescent="0.25">
      <c r="A115" s="5" t="s">
        <v>42</v>
      </c>
      <c r="B115" s="6" t="s">
        <v>43</v>
      </c>
      <c r="C115" s="5">
        <v>3</v>
      </c>
      <c r="D115" s="5" t="s">
        <v>451</v>
      </c>
      <c r="E115" s="7" t="s">
        <v>339</v>
      </c>
      <c r="F115" s="5">
        <v>20164</v>
      </c>
      <c r="G115" s="8">
        <v>46074</v>
      </c>
      <c r="H115" s="8">
        <v>46074</v>
      </c>
      <c r="I115" s="8">
        <v>46074</v>
      </c>
      <c r="J115" s="8">
        <v>46074</v>
      </c>
      <c r="K115" s="9" t="s">
        <v>187</v>
      </c>
      <c r="L115" s="7" t="s">
        <v>188</v>
      </c>
      <c r="M115" s="5" t="s">
        <v>189</v>
      </c>
      <c r="N115" s="5" t="s">
        <v>49</v>
      </c>
      <c r="O115" s="5" t="s">
        <v>227</v>
      </c>
      <c r="P115" s="7" t="s">
        <v>51</v>
      </c>
      <c r="Q115" s="7" t="s">
        <v>51</v>
      </c>
      <c r="R115" s="10" t="s">
        <v>659</v>
      </c>
      <c r="S115" s="7" t="s">
        <v>660</v>
      </c>
      <c r="T115" s="11">
        <v>8.8000000000000007</v>
      </c>
      <c r="U115" s="12">
        <v>0</v>
      </c>
      <c r="V115" s="7" t="s">
        <v>661</v>
      </c>
      <c r="W115" s="12">
        <v>0</v>
      </c>
      <c r="X115" s="5" t="s">
        <v>662</v>
      </c>
      <c r="Y115" s="12">
        <v>155.47</v>
      </c>
      <c r="Z115" s="12">
        <v>79.55</v>
      </c>
      <c r="AA115" s="12">
        <v>75.92</v>
      </c>
      <c r="AB115" s="12">
        <v>0</v>
      </c>
      <c r="AC115" s="12">
        <v>0</v>
      </c>
      <c r="AD115" s="13">
        <v>17</v>
      </c>
      <c r="AE115" s="5"/>
      <c r="AF115" s="5"/>
      <c r="AG115" s="5">
        <v>0</v>
      </c>
      <c r="AH115" s="5">
        <v>0</v>
      </c>
      <c r="AI115" s="7"/>
      <c r="AJ115" s="5"/>
      <c r="AK115" s="5"/>
      <c r="AL115" s="7">
        <v>46075.766018518516</v>
      </c>
      <c r="AM115" s="7" t="s">
        <v>85</v>
      </c>
      <c r="AN115" s="7" t="s">
        <v>663</v>
      </c>
      <c r="AO115" s="7" t="s">
        <v>58</v>
      </c>
    </row>
    <row r="116" spans="1:41" x14ac:dyDescent="0.25">
      <c r="A116" s="5" t="s">
        <v>42</v>
      </c>
      <c r="B116" s="6" t="s">
        <v>43</v>
      </c>
      <c r="C116" s="5">
        <v>3</v>
      </c>
      <c r="D116" s="5" t="s">
        <v>451</v>
      </c>
      <c r="E116" s="7" t="s">
        <v>339</v>
      </c>
      <c r="F116" s="5">
        <v>20166</v>
      </c>
      <c r="G116" s="8">
        <v>46074</v>
      </c>
      <c r="H116" s="8">
        <v>46074</v>
      </c>
      <c r="I116" s="8">
        <v>46074</v>
      </c>
      <c r="J116" s="8">
        <v>46074</v>
      </c>
      <c r="K116" s="9" t="s">
        <v>187</v>
      </c>
      <c r="L116" s="7" t="s">
        <v>188</v>
      </c>
      <c r="M116" s="5" t="s">
        <v>189</v>
      </c>
      <c r="N116" s="5" t="s">
        <v>49</v>
      </c>
      <c r="O116" s="5" t="s">
        <v>233</v>
      </c>
      <c r="P116" s="7" t="s">
        <v>51</v>
      </c>
      <c r="Q116" s="7" t="s">
        <v>51</v>
      </c>
      <c r="R116" s="10" t="s">
        <v>664</v>
      </c>
      <c r="S116" s="7" t="s">
        <v>665</v>
      </c>
      <c r="T116" s="11">
        <v>7.8</v>
      </c>
      <c r="U116" s="12">
        <v>0</v>
      </c>
      <c r="V116" s="7" t="s">
        <v>664</v>
      </c>
      <c r="W116" s="12">
        <v>0</v>
      </c>
      <c r="X116" s="5" t="s">
        <v>666</v>
      </c>
      <c r="Y116" s="12">
        <v>176.56</v>
      </c>
      <c r="Z116" s="12">
        <v>90.4</v>
      </c>
      <c r="AA116" s="12">
        <v>86.16</v>
      </c>
      <c r="AB116" s="12">
        <v>0</v>
      </c>
      <c r="AC116" s="12">
        <v>0</v>
      </c>
      <c r="AD116" s="13">
        <v>5</v>
      </c>
      <c r="AE116" s="5"/>
      <c r="AF116" s="5"/>
      <c r="AG116" s="5">
        <v>0</v>
      </c>
      <c r="AH116" s="5">
        <v>0</v>
      </c>
      <c r="AI116" s="7"/>
      <c r="AJ116" s="5"/>
      <c r="AK116" s="5"/>
      <c r="AL116" s="7">
        <v>46076.79010416667</v>
      </c>
      <c r="AM116" s="7" t="s">
        <v>197</v>
      </c>
      <c r="AN116" s="7" t="s">
        <v>667</v>
      </c>
      <c r="AO116" s="7" t="s">
        <v>58</v>
      </c>
    </row>
    <row r="117" spans="1:41" x14ac:dyDescent="0.25">
      <c r="A117" s="5" t="s">
        <v>42</v>
      </c>
      <c r="B117" s="6" t="s">
        <v>43</v>
      </c>
      <c r="C117" s="5">
        <v>3</v>
      </c>
      <c r="D117" s="5" t="s">
        <v>451</v>
      </c>
      <c r="E117" s="7" t="s">
        <v>339</v>
      </c>
      <c r="F117" s="5">
        <v>20187</v>
      </c>
      <c r="G117" s="8">
        <v>46074</v>
      </c>
      <c r="H117" s="8">
        <v>46074</v>
      </c>
      <c r="I117" s="8">
        <v>46074</v>
      </c>
      <c r="J117" s="8">
        <v>46074</v>
      </c>
      <c r="K117" s="9" t="s">
        <v>187</v>
      </c>
      <c r="L117" s="7" t="s">
        <v>188</v>
      </c>
      <c r="M117" s="5" t="s">
        <v>189</v>
      </c>
      <c r="N117" s="5" t="s">
        <v>49</v>
      </c>
      <c r="O117" s="5" t="s">
        <v>668</v>
      </c>
      <c r="P117" s="7" t="s">
        <v>51</v>
      </c>
      <c r="Q117" s="7" t="s">
        <v>51</v>
      </c>
      <c r="R117" s="10" t="s">
        <v>669</v>
      </c>
      <c r="S117" s="7" t="s">
        <v>670</v>
      </c>
      <c r="T117" s="11">
        <v>5</v>
      </c>
      <c r="U117" s="12">
        <v>0</v>
      </c>
      <c r="V117" s="7" t="s">
        <v>671</v>
      </c>
      <c r="W117" s="12">
        <v>0</v>
      </c>
      <c r="X117" s="5" t="s">
        <v>672</v>
      </c>
      <c r="Y117" s="12">
        <v>88.33</v>
      </c>
      <c r="Z117" s="12">
        <v>45.2</v>
      </c>
      <c r="AA117" s="12">
        <v>43.13</v>
      </c>
      <c r="AB117" s="12">
        <v>0</v>
      </c>
      <c r="AC117" s="12">
        <v>0</v>
      </c>
      <c r="AD117" s="13">
        <v>20</v>
      </c>
      <c r="AE117" s="5"/>
      <c r="AF117" s="5"/>
      <c r="AG117" s="5">
        <v>0</v>
      </c>
      <c r="AH117" s="5">
        <v>0</v>
      </c>
      <c r="AI117" s="7"/>
      <c r="AJ117" s="5"/>
      <c r="AK117" s="5"/>
      <c r="AL117" s="7">
        <v>46074.974756944444</v>
      </c>
      <c r="AM117" s="7" t="s">
        <v>56</v>
      </c>
      <c r="AN117" s="7" t="s">
        <v>673</v>
      </c>
      <c r="AO117" s="7" t="s">
        <v>58</v>
      </c>
    </row>
    <row r="118" spans="1:41" x14ac:dyDescent="0.25">
      <c r="A118" s="5" t="s">
        <v>42</v>
      </c>
      <c r="B118" s="6" t="s">
        <v>43</v>
      </c>
      <c r="C118" s="5">
        <v>3</v>
      </c>
      <c r="D118" s="5" t="s">
        <v>451</v>
      </c>
      <c r="E118" s="7" t="s">
        <v>339</v>
      </c>
      <c r="F118" s="5">
        <v>20188</v>
      </c>
      <c r="G118" s="8">
        <v>46074</v>
      </c>
      <c r="H118" s="8">
        <v>46074</v>
      </c>
      <c r="I118" s="8">
        <v>46074</v>
      </c>
      <c r="J118" s="8">
        <v>46074</v>
      </c>
      <c r="K118" s="9" t="s">
        <v>187</v>
      </c>
      <c r="L118" s="7" t="s">
        <v>188</v>
      </c>
      <c r="M118" s="5" t="s">
        <v>189</v>
      </c>
      <c r="N118" s="5" t="s">
        <v>49</v>
      </c>
      <c r="O118" s="5" t="s">
        <v>674</v>
      </c>
      <c r="P118" s="7" t="s">
        <v>51</v>
      </c>
      <c r="Q118" s="7" t="s">
        <v>51</v>
      </c>
      <c r="R118" s="10" t="s">
        <v>675</v>
      </c>
      <c r="S118" s="7" t="s">
        <v>676</v>
      </c>
      <c r="T118" s="11">
        <v>3.8</v>
      </c>
      <c r="U118" s="12">
        <v>0</v>
      </c>
      <c r="V118" s="7" t="s">
        <v>675</v>
      </c>
      <c r="W118" s="12">
        <v>0</v>
      </c>
      <c r="X118" s="5" t="s">
        <v>677</v>
      </c>
      <c r="Y118" s="12">
        <v>67</v>
      </c>
      <c r="Z118" s="12">
        <v>34.35</v>
      </c>
      <c r="AA118" s="12">
        <v>32.65</v>
      </c>
      <c r="AB118" s="12">
        <v>0</v>
      </c>
      <c r="AC118" s="12">
        <v>0</v>
      </c>
      <c r="AD118" s="13">
        <v>16</v>
      </c>
      <c r="AE118" s="5"/>
      <c r="AF118" s="5"/>
      <c r="AG118" s="5">
        <v>0</v>
      </c>
      <c r="AH118" s="5">
        <v>0</v>
      </c>
      <c r="AI118" s="7"/>
      <c r="AJ118" s="5"/>
      <c r="AK118" s="5"/>
      <c r="AL118" s="7">
        <v>46076.654062499998</v>
      </c>
      <c r="AM118" s="7" t="s">
        <v>197</v>
      </c>
      <c r="AN118" s="7" t="s">
        <v>678</v>
      </c>
      <c r="AO118" s="7" t="s">
        <v>58</v>
      </c>
    </row>
    <row r="119" spans="1:41" x14ac:dyDescent="0.25">
      <c r="A119" s="5" t="s">
        <v>42</v>
      </c>
      <c r="B119" s="6" t="s">
        <v>43</v>
      </c>
      <c r="C119" s="5">
        <v>3</v>
      </c>
      <c r="D119" s="5" t="s">
        <v>451</v>
      </c>
      <c r="E119" s="7" t="s">
        <v>74</v>
      </c>
      <c r="F119" s="5">
        <v>20317</v>
      </c>
      <c r="G119" s="8">
        <v>46074</v>
      </c>
      <c r="H119" s="8">
        <v>46074</v>
      </c>
      <c r="I119" s="8">
        <v>46074</v>
      </c>
      <c r="J119" s="8">
        <v>46074</v>
      </c>
      <c r="K119" s="9" t="s">
        <v>493</v>
      </c>
      <c r="L119" s="7" t="s">
        <v>494</v>
      </c>
      <c r="M119" s="5" t="s">
        <v>495</v>
      </c>
      <c r="N119" s="5" t="s">
        <v>49</v>
      </c>
      <c r="O119" s="5" t="s">
        <v>111</v>
      </c>
      <c r="P119" s="7" t="s">
        <v>51</v>
      </c>
      <c r="Q119" s="7" t="s">
        <v>51</v>
      </c>
      <c r="R119" s="10" t="s">
        <v>679</v>
      </c>
      <c r="S119" s="7" t="s">
        <v>680</v>
      </c>
      <c r="T119" s="11">
        <v>25.3</v>
      </c>
      <c r="U119" s="12">
        <v>0</v>
      </c>
      <c r="V119" s="7" t="s">
        <v>681</v>
      </c>
      <c r="W119" s="12">
        <v>0</v>
      </c>
      <c r="X119" s="5" t="s">
        <v>682</v>
      </c>
      <c r="Y119" s="12">
        <v>448.66</v>
      </c>
      <c r="Z119" s="12">
        <v>229.62</v>
      </c>
      <c r="AA119" s="12">
        <v>219.04</v>
      </c>
      <c r="AB119" s="12">
        <v>0</v>
      </c>
      <c r="AC119" s="12">
        <v>0</v>
      </c>
      <c r="AD119" s="13">
        <v>40</v>
      </c>
      <c r="AE119" s="5"/>
      <c r="AF119" s="5"/>
      <c r="AG119" s="5">
        <v>0</v>
      </c>
      <c r="AH119" s="5">
        <v>0</v>
      </c>
      <c r="AI119" s="7"/>
      <c r="AJ119" s="5"/>
      <c r="AK119" s="5"/>
      <c r="AL119" s="7">
        <v>46074.981782407405</v>
      </c>
      <c r="AM119" s="7" t="s">
        <v>56</v>
      </c>
      <c r="AN119" s="7" t="s">
        <v>683</v>
      </c>
      <c r="AO119" s="7" t="s">
        <v>58</v>
      </c>
    </row>
    <row r="120" spans="1:41" x14ac:dyDescent="0.25">
      <c r="A120" s="5" t="s">
        <v>42</v>
      </c>
      <c r="B120" s="6" t="s">
        <v>43</v>
      </c>
      <c r="C120" s="5">
        <v>3</v>
      </c>
      <c r="D120" s="5" t="s">
        <v>451</v>
      </c>
      <c r="E120" s="7" t="s">
        <v>74</v>
      </c>
      <c r="F120" s="5">
        <v>20318</v>
      </c>
      <c r="G120" s="8">
        <v>46074</v>
      </c>
      <c r="H120" s="8">
        <v>46074</v>
      </c>
      <c r="I120" s="8">
        <v>46074</v>
      </c>
      <c r="J120" s="8">
        <v>46074</v>
      </c>
      <c r="K120" s="9" t="s">
        <v>493</v>
      </c>
      <c r="L120" s="7" t="s">
        <v>494</v>
      </c>
      <c r="M120" s="5" t="s">
        <v>495</v>
      </c>
      <c r="N120" s="5" t="s">
        <v>49</v>
      </c>
      <c r="O120" s="5" t="s">
        <v>117</v>
      </c>
      <c r="P120" s="7" t="s">
        <v>51</v>
      </c>
      <c r="Q120" s="7" t="s">
        <v>51</v>
      </c>
      <c r="R120" s="10" t="s">
        <v>684</v>
      </c>
      <c r="S120" s="7" t="s">
        <v>685</v>
      </c>
      <c r="T120" s="11">
        <v>37</v>
      </c>
      <c r="U120" s="12">
        <v>0</v>
      </c>
      <c r="V120" s="7" t="s">
        <v>684</v>
      </c>
      <c r="W120" s="12">
        <v>0</v>
      </c>
      <c r="X120" s="5" t="s">
        <v>686</v>
      </c>
      <c r="Y120" s="12">
        <v>959.3</v>
      </c>
      <c r="Z120" s="12">
        <v>334.48</v>
      </c>
      <c r="AA120" s="12">
        <v>318.79000000000002</v>
      </c>
      <c r="AB120" s="12">
        <v>306.02999999999997</v>
      </c>
      <c r="AC120" s="12">
        <v>0</v>
      </c>
      <c r="AD120" s="13">
        <v>59</v>
      </c>
      <c r="AE120" s="5"/>
      <c r="AF120" s="5"/>
      <c r="AG120" s="5">
        <v>0</v>
      </c>
      <c r="AH120" s="5">
        <v>0</v>
      </c>
      <c r="AI120" s="7"/>
      <c r="AJ120" s="5"/>
      <c r="AK120" s="5"/>
      <c r="AL120" s="7">
        <v>46076.752430555556</v>
      </c>
      <c r="AM120" s="7" t="s">
        <v>197</v>
      </c>
      <c r="AN120" s="7" t="s">
        <v>687</v>
      </c>
      <c r="AO120" s="7" t="s">
        <v>58</v>
      </c>
    </row>
    <row r="121" spans="1:41" x14ac:dyDescent="0.25">
      <c r="A121" s="5" t="s">
        <v>42</v>
      </c>
      <c r="B121" s="6" t="s">
        <v>43</v>
      </c>
      <c r="C121" s="5">
        <v>3</v>
      </c>
      <c r="D121" s="5" t="s">
        <v>451</v>
      </c>
      <c r="E121" s="7" t="s">
        <v>74</v>
      </c>
      <c r="F121" s="5">
        <v>20321</v>
      </c>
      <c r="G121" s="8">
        <v>46074</v>
      </c>
      <c r="H121" s="8">
        <v>46074</v>
      </c>
      <c r="I121" s="8">
        <v>46074</v>
      </c>
      <c r="J121" s="8">
        <v>46074</v>
      </c>
      <c r="K121" s="9" t="s">
        <v>688</v>
      </c>
      <c r="L121" s="7" t="s">
        <v>109</v>
      </c>
      <c r="M121" s="5" t="s">
        <v>110</v>
      </c>
      <c r="N121" s="5" t="s">
        <v>49</v>
      </c>
      <c r="O121" s="5" t="s">
        <v>561</v>
      </c>
      <c r="P121" s="7" t="s">
        <v>51</v>
      </c>
      <c r="Q121" s="7" t="s">
        <v>51</v>
      </c>
      <c r="R121" s="10" t="s">
        <v>689</v>
      </c>
      <c r="S121" s="7" t="s">
        <v>690</v>
      </c>
      <c r="T121" s="11">
        <v>25.2</v>
      </c>
      <c r="U121" s="12">
        <v>0</v>
      </c>
      <c r="V121" s="7" t="s">
        <v>691</v>
      </c>
      <c r="W121" s="12">
        <v>0</v>
      </c>
      <c r="X121" s="5" t="s">
        <v>692</v>
      </c>
      <c r="Y121" s="12">
        <v>445.12</v>
      </c>
      <c r="Z121" s="12">
        <v>227.81</v>
      </c>
      <c r="AA121" s="12">
        <v>217.31</v>
      </c>
      <c r="AB121" s="12">
        <v>0</v>
      </c>
      <c r="AC121" s="12">
        <v>0</v>
      </c>
      <c r="AD121" s="13">
        <v>46</v>
      </c>
      <c r="AE121" s="5"/>
      <c r="AF121" s="5"/>
      <c r="AG121" s="5">
        <v>0</v>
      </c>
      <c r="AH121" s="5">
        <v>0</v>
      </c>
      <c r="AI121" s="7"/>
      <c r="AJ121" s="5"/>
      <c r="AK121" s="5"/>
      <c r="AL121" s="7">
        <v>46075.76662037037</v>
      </c>
      <c r="AM121" s="7" t="s">
        <v>85</v>
      </c>
      <c r="AN121" s="7" t="s">
        <v>693</v>
      </c>
      <c r="AO121" s="7" t="s">
        <v>58</v>
      </c>
    </row>
    <row r="122" spans="1:41" x14ac:dyDescent="0.25">
      <c r="A122" s="5" t="s">
        <v>42</v>
      </c>
      <c r="B122" s="6" t="s">
        <v>43</v>
      </c>
      <c r="C122" s="5">
        <v>2</v>
      </c>
      <c r="D122" s="5" t="s">
        <v>451</v>
      </c>
      <c r="E122" s="7" t="s">
        <v>74</v>
      </c>
      <c r="F122" s="5">
        <v>20322</v>
      </c>
      <c r="G122" s="8">
        <v>46074</v>
      </c>
      <c r="H122" s="8"/>
      <c r="I122" s="8">
        <v>46074</v>
      </c>
      <c r="J122" s="8"/>
      <c r="K122" s="9" t="s">
        <v>688</v>
      </c>
      <c r="L122" s="7" t="s">
        <v>109</v>
      </c>
      <c r="M122" s="5" t="s">
        <v>110</v>
      </c>
      <c r="N122" s="5" t="s">
        <v>49</v>
      </c>
      <c r="O122" s="5" t="s">
        <v>567</v>
      </c>
      <c r="P122" s="7" t="s">
        <v>51</v>
      </c>
      <c r="Q122" s="7" t="s">
        <v>51</v>
      </c>
      <c r="R122" s="10" t="s">
        <v>694</v>
      </c>
      <c r="S122" s="7" t="s">
        <v>695</v>
      </c>
      <c r="T122" s="11">
        <v>37</v>
      </c>
      <c r="U122" s="12">
        <v>0</v>
      </c>
      <c r="V122" s="7" t="s">
        <v>694</v>
      </c>
      <c r="W122" s="12">
        <v>0</v>
      </c>
      <c r="X122" s="5" t="s">
        <v>58</v>
      </c>
      <c r="Y122" s="12">
        <v>0</v>
      </c>
      <c r="Z122" s="12">
        <v>334.48</v>
      </c>
      <c r="AA122" s="12">
        <v>318.79000000000002</v>
      </c>
      <c r="AB122" s="12">
        <v>306.02999999999997</v>
      </c>
      <c r="AC122" s="12">
        <v>0</v>
      </c>
      <c r="AD122" s="13">
        <v>70</v>
      </c>
      <c r="AE122" s="5"/>
      <c r="AF122" s="5"/>
      <c r="AG122" s="5">
        <v>0</v>
      </c>
      <c r="AH122" s="5">
        <v>0</v>
      </c>
      <c r="AI122" s="7"/>
      <c r="AJ122" s="5"/>
      <c r="AK122" s="5"/>
      <c r="AL122" s="7">
        <v>46076.793414351851</v>
      </c>
      <c r="AM122" s="7"/>
      <c r="AN122" s="7" t="s">
        <v>696</v>
      </c>
      <c r="AO122" s="7" t="s">
        <v>58</v>
      </c>
    </row>
    <row r="123" spans="1:41" x14ac:dyDescent="0.25">
      <c r="A123" s="5" t="s">
        <v>42</v>
      </c>
      <c r="B123" s="6" t="s">
        <v>43</v>
      </c>
      <c r="C123" s="5">
        <v>3</v>
      </c>
      <c r="D123" s="5" t="s">
        <v>451</v>
      </c>
      <c r="E123" s="7" t="s">
        <v>74</v>
      </c>
      <c r="F123" s="5">
        <v>20323</v>
      </c>
      <c r="G123" s="8">
        <v>46074</v>
      </c>
      <c r="H123" s="8">
        <v>46074</v>
      </c>
      <c r="I123" s="8">
        <v>46074</v>
      </c>
      <c r="J123" s="8">
        <v>46074</v>
      </c>
      <c r="K123" s="9" t="s">
        <v>493</v>
      </c>
      <c r="L123" s="7" t="s">
        <v>494</v>
      </c>
      <c r="M123" s="5" t="s">
        <v>495</v>
      </c>
      <c r="N123" s="5" t="s">
        <v>49</v>
      </c>
      <c r="O123" s="5" t="s">
        <v>111</v>
      </c>
      <c r="P123" s="7" t="s">
        <v>51</v>
      </c>
      <c r="Q123" s="7" t="s">
        <v>51</v>
      </c>
      <c r="R123" s="10" t="s">
        <v>697</v>
      </c>
      <c r="S123" s="7" t="s">
        <v>698</v>
      </c>
      <c r="T123" s="11">
        <v>25.3</v>
      </c>
      <c r="U123" s="12">
        <v>0</v>
      </c>
      <c r="V123" s="7" t="s">
        <v>699</v>
      </c>
      <c r="W123" s="12">
        <v>0</v>
      </c>
      <c r="X123" s="5" t="s">
        <v>700</v>
      </c>
      <c r="Y123" s="12">
        <v>448.66</v>
      </c>
      <c r="Z123" s="12">
        <v>229.62</v>
      </c>
      <c r="AA123" s="12">
        <v>219.04</v>
      </c>
      <c r="AB123" s="12">
        <v>0</v>
      </c>
      <c r="AC123" s="12">
        <v>0</v>
      </c>
      <c r="AD123" s="13">
        <v>19</v>
      </c>
      <c r="AE123" s="5"/>
      <c r="AF123" s="5"/>
      <c r="AG123" s="5">
        <v>0</v>
      </c>
      <c r="AH123" s="5">
        <v>0</v>
      </c>
      <c r="AI123" s="7"/>
      <c r="AJ123" s="5"/>
      <c r="AK123" s="5"/>
      <c r="AL123" s="7">
        <v>46074.981898148151</v>
      </c>
      <c r="AM123" s="7" t="s">
        <v>56</v>
      </c>
      <c r="AN123" s="7" t="s">
        <v>701</v>
      </c>
      <c r="AO123" s="7" t="s">
        <v>58</v>
      </c>
    </row>
    <row r="124" spans="1:41" x14ac:dyDescent="0.25">
      <c r="A124" s="5" t="s">
        <v>42</v>
      </c>
      <c r="B124" s="6" t="s">
        <v>43</v>
      </c>
      <c r="C124" s="5">
        <v>3</v>
      </c>
      <c r="D124" s="5" t="s">
        <v>451</v>
      </c>
      <c r="E124" s="7" t="s">
        <v>74</v>
      </c>
      <c r="F124" s="5">
        <v>20324</v>
      </c>
      <c r="G124" s="8">
        <v>46074</v>
      </c>
      <c r="H124" s="8">
        <v>46074</v>
      </c>
      <c r="I124" s="8">
        <v>46074</v>
      </c>
      <c r="J124" s="8">
        <v>46074</v>
      </c>
      <c r="K124" s="9" t="s">
        <v>493</v>
      </c>
      <c r="L124" s="7" t="s">
        <v>494</v>
      </c>
      <c r="M124" s="5" t="s">
        <v>495</v>
      </c>
      <c r="N124" s="5" t="s">
        <v>49</v>
      </c>
      <c r="O124" s="5" t="s">
        <v>117</v>
      </c>
      <c r="P124" s="7" t="s">
        <v>51</v>
      </c>
      <c r="Q124" s="7" t="s">
        <v>51</v>
      </c>
      <c r="R124" s="10" t="s">
        <v>702</v>
      </c>
      <c r="S124" s="7" t="s">
        <v>703</v>
      </c>
      <c r="T124" s="11">
        <v>37</v>
      </c>
      <c r="U124" s="12">
        <v>0</v>
      </c>
      <c r="V124" s="7" t="s">
        <v>702</v>
      </c>
      <c r="W124" s="12">
        <v>0</v>
      </c>
      <c r="X124" s="5" t="s">
        <v>704</v>
      </c>
      <c r="Y124" s="12">
        <v>959.3</v>
      </c>
      <c r="Z124" s="12">
        <v>334.48</v>
      </c>
      <c r="AA124" s="12">
        <v>318.79000000000002</v>
      </c>
      <c r="AB124" s="12">
        <v>306.02999999999997</v>
      </c>
      <c r="AC124" s="12">
        <v>0</v>
      </c>
      <c r="AD124" s="13">
        <v>50</v>
      </c>
      <c r="AE124" s="5"/>
      <c r="AF124" s="5"/>
      <c r="AG124" s="5">
        <v>0</v>
      </c>
      <c r="AH124" s="5">
        <v>0</v>
      </c>
      <c r="AI124" s="7"/>
      <c r="AJ124" s="5"/>
      <c r="AK124" s="5"/>
      <c r="AL124" s="7">
        <v>46076.75204861111</v>
      </c>
      <c r="AM124" s="7" t="s">
        <v>197</v>
      </c>
      <c r="AN124" s="7" t="s">
        <v>214</v>
      </c>
      <c r="AO124" s="7" t="s">
        <v>58</v>
      </c>
    </row>
    <row r="125" spans="1:41" x14ac:dyDescent="0.25">
      <c r="A125" s="5" t="s">
        <v>42</v>
      </c>
      <c r="B125" s="6" t="s">
        <v>43</v>
      </c>
      <c r="C125" s="5">
        <v>3</v>
      </c>
      <c r="D125" s="5" t="s">
        <v>451</v>
      </c>
      <c r="E125" s="7" t="s">
        <v>74</v>
      </c>
      <c r="F125" s="5">
        <v>20364</v>
      </c>
      <c r="G125" s="8">
        <v>46074</v>
      </c>
      <c r="H125" s="8">
        <v>46074</v>
      </c>
      <c r="I125" s="8">
        <v>46074</v>
      </c>
      <c r="J125" s="8">
        <v>46074</v>
      </c>
      <c r="K125" s="9" t="s">
        <v>187</v>
      </c>
      <c r="L125" s="7" t="s">
        <v>188</v>
      </c>
      <c r="M125" s="5" t="s">
        <v>189</v>
      </c>
      <c r="N125" s="5" t="s">
        <v>49</v>
      </c>
      <c r="O125" s="5" t="s">
        <v>705</v>
      </c>
      <c r="P125" s="7" t="s">
        <v>51</v>
      </c>
      <c r="Q125" s="7" t="s">
        <v>240</v>
      </c>
      <c r="R125" s="10" t="s">
        <v>706</v>
      </c>
      <c r="S125" s="7" t="s">
        <v>707</v>
      </c>
      <c r="T125" s="11">
        <v>24.4</v>
      </c>
      <c r="U125" s="12">
        <v>0</v>
      </c>
      <c r="V125" s="7" t="s">
        <v>708</v>
      </c>
      <c r="W125" s="12">
        <v>0</v>
      </c>
      <c r="X125" s="5" t="s">
        <v>709</v>
      </c>
      <c r="Y125" s="12">
        <v>430.99</v>
      </c>
      <c r="Z125" s="12">
        <v>220.58</v>
      </c>
      <c r="AA125" s="12">
        <v>210.41</v>
      </c>
      <c r="AB125" s="12">
        <v>0</v>
      </c>
      <c r="AC125" s="12">
        <v>0</v>
      </c>
      <c r="AD125" s="13">
        <v>30</v>
      </c>
      <c r="AE125" s="5"/>
      <c r="AF125" s="5"/>
      <c r="AG125" s="5">
        <v>0</v>
      </c>
      <c r="AH125" s="5">
        <v>0</v>
      </c>
      <c r="AI125" s="7"/>
      <c r="AJ125" s="5"/>
      <c r="AK125" s="5"/>
      <c r="AL125" s="7">
        <v>46074.982511574075</v>
      </c>
      <c r="AM125" s="7" t="s">
        <v>56</v>
      </c>
      <c r="AN125" s="7" t="s">
        <v>710</v>
      </c>
      <c r="AO125" s="7" t="s">
        <v>58</v>
      </c>
    </row>
    <row r="126" spans="1:41" x14ac:dyDescent="0.25">
      <c r="A126" s="5" t="s">
        <v>42</v>
      </c>
      <c r="B126" s="6" t="s">
        <v>43</v>
      </c>
      <c r="C126" s="5">
        <v>3</v>
      </c>
      <c r="D126" s="5" t="s">
        <v>451</v>
      </c>
      <c r="E126" s="7" t="s">
        <v>74</v>
      </c>
      <c r="F126" s="5">
        <v>20365</v>
      </c>
      <c r="G126" s="8">
        <v>46074</v>
      </c>
      <c r="H126" s="8">
        <v>46074</v>
      </c>
      <c r="I126" s="8">
        <v>46074</v>
      </c>
      <c r="J126" s="8">
        <v>46074</v>
      </c>
      <c r="K126" s="9" t="s">
        <v>187</v>
      </c>
      <c r="L126" s="7" t="s">
        <v>188</v>
      </c>
      <c r="M126" s="5" t="s">
        <v>189</v>
      </c>
      <c r="N126" s="5" t="s">
        <v>49</v>
      </c>
      <c r="O126" s="5" t="s">
        <v>711</v>
      </c>
      <c r="P126" s="7" t="s">
        <v>240</v>
      </c>
      <c r="Q126" s="7" t="s">
        <v>51</v>
      </c>
      <c r="R126" s="10" t="s">
        <v>712</v>
      </c>
      <c r="S126" s="7" t="s">
        <v>713</v>
      </c>
      <c r="T126" s="11">
        <v>19.100000000000001</v>
      </c>
      <c r="U126" s="12">
        <v>0</v>
      </c>
      <c r="V126" s="7" t="s">
        <v>712</v>
      </c>
      <c r="W126" s="12">
        <v>0</v>
      </c>
      <c r="X126" s="5" t="s">
        <v>714</v>
      </c>
      <c r="Y126" s="12">
        <v>368.93</v>
      </c>
      <c r="Z126" s="12">
        <v>188.94</v>
      </c>
      <c r="AA126" s="12">
        <v>179.99</v>
      </c>
      <c r="AB126" s="12">
        <v>0</v>
      </c>
      <c r="AC126" s="12">
        <v>0</v>
      </c>
      <c r="AD126" s="13">
        <v>29</v>
      </c>
      <c r="AE126" s="5"/>
      <c r="AF126" s="5"/>
      <c r="AG126" s="5">
        <v>0</v>
      </c>
      <c r="AH126" s="5">
        <v>0</v>
      </c>
      <c r="AI126" s="7"/>
      <c r="AJ126" s="5"/>
      <c r="AK126" s="5"/>
      <c r="AL126" s="7">
        <v>46076.756284722222</v>
      </c>
      <c r="AM126" s="7" t="s">
        <v>197</v>
      </c>
      <c r="AN126" s="7" t="s">
        <v>715</v>
      </c>
      <c r="AO126" s="7" t="s">
        <v>58</v>
      </c>
    </row>
    <row r="127" spans="1:41" x14ac:dyDescent="0.25">
      <c r="A127" s="5" t="s">
        <v>42</v>
      </c>
      <c r="B127" s="6" t="s">
        <v>43</v>
      </c>
      <c r="C127" s="5">
        <v>3</v>
      </c>
      <c r="D127" s="5" t="s">
        <v>451</v>
      </c>
      <c r="E127" s="7" t="s">
        <v>74</v>
      </c>
      <c r="F127" s="5">
        <v>20372</v>
      </c>
      <c r="G127" s="8">
        <v>46074</v>
      </c>
      <c r="H127" s="8">
        <v>46074</v>
      </c>
      <c r="I127" s="8">
        <v>46074</v>
      </c>
      <c r="J127" s="8">
        <v>46074</v>
      </c>
      <c r="K127" s="9" t="s">
        <v>688</v>
      </c>
      <c r="L127" s="7" t="s">
        <v>109</v>
      </c>
      <c r="M127" s="5" t="s">
        <v>110</v>
      </c>
      <c r="N127" s="5" t="s">
        <v>49</v>
      </c>
      <c r="O127" s="5" t="s">
        <v>111</v>
      </c>
      <c r="P127" s="7" t="s">
        <v>51</v>
      </c>
      <c r="Q127" s="7" t="s">
        <v>51</v>
      </c>
      <c r="R127" s="10" t="s">
        <v>716</v>
      </c>
      <c r="S127" s="7" t="s">
        <v>717</v>
      </c>
      <c r="T127" s="11">
        <v>25.3</v>
      </c>
      <c r="U127" s="12">
        <v>0</v>
      </c>
      <c r="V127" s="7" t="s">
        <v>718</v>
      </c>
      <c r="W127" s="12">
        <v>0</v>
      </c>
      <c r="X127" s="5" t="s">
        <v>719</v>
      </c>
      <c r="Y127" s="12">
        <v>448.66</v>
      </c>
      <c r="Z127" s="12">
        <v>229.62</v>
      </c>
      <c r="AA127" s="12">
        <v>219.04</v>
      </c>
      <c r="AB127" s="12">
        <v>0</v>
      </c>
      <c r="AC127" s="12">
        <v>0</v>
      </c>
      <c r="AD127" s="13">
        <v>21</v>
      </c>
      <c r="AE127" s="5"/>
      <c r="AF127" s="5"/>
      <c r="AG127" s="5">
        <v>1</v>
      </c>
      <c r="AH127" s="5">
        <v>1</v>
      </c>
      <c r="AI127" s="7">
        <v>46079.433333333334</v>
      </c>
      <c r="AJ127" s="5" t="s">
        <v>140</v>
      </c>
      <c r="AK127" s="5" t="s">
        <v>720</v>
      </c>
      <c r="AL127" s="7">
        <v>46075.767187500001</v>
      </c>
      <c r="AM127" s="7" t="s">
        <v>85</v>
      </c>
      <c r="AN127" s="7" t="s">
        <v>721</v>
      </c>
      <c r="AO127" s="7" t="s">
        <v>58</v>
      </c>
    </row>
    <row r="128" spans="1:41" x14ac:dyDescent="0.25">
      <c r="A128" s="5" t="s">
        <v>42</v>
      </c>
      <c r="B128" s="6" t="s">
        <v>43</v>
      </c>
      <c r="C128" s="5">
        <v>3</v>
      </c>
      <c r="D128" s="5" t="s">
        <v>451</v>
      </c>
      <c r="E128" s="7" t="s">
        <v>74</v>
      </c>
      <c r="F128" s="5">
        <v>20373</v>
      </c>
      <c r="G128" s="8">
        <v>46074</v>
      </c>
      <c r="H128" s="8">
        <v>46074</v>
      </c>
      <c r="I128" s="8">
        <v>46074</v>
      </c>
      <c r="J128" s="8">
        <v>46074</v>
      </c>
      <c r="K128" s="9" t="s">
        <v>688</v>
      </c>
      <c r="L128" s="7" t="s">
        <v>109</v>
      </c>
      <c r="M128" s="5" t="s">
        <v>110</v>
      </c>
      <c r="N128" s="5" t="s">
        <v>49</v>
      </c>
      <c r="O128" s="5" t="s">
        <v>117</v>
      </c>
      <c r="P128" s="7" t="s">
        <v>51</v>
      </c>
      <c r="Q128" s="7" t="s">
        <v>51</v>
      </c>
      <c r="R128" s="10" t="s">
        <v>722</v>
      </c>
      <c r="S128" s="7" t="s">
        <v>723</v>
      </c>
      <c r="T128" s="11">
        <v>37</v>
      </c>
      <c r="U128" s="12">
        <v>0</v>
      </c>
      <c r="V128" s="7" t="s">
        <v>722</v>
      </c>
      <c r="W128" s="12">
        <v>0</v>
      </c>
      <c r="X128" s="5" t="s">
        <v>724</v>
      </c>
      <c r="Y128" s="12">
        <v>959.3</v>
      </c>
      <c r="Z128" s="12">
        <v>334.48</v>
      </c>
      <c r="AA128" s="12">
        <v>318.79000000000002</v>
      </c>
      <c r="AB128" s="12">
        <v>306.02999999999997</v>
      </c>
      <c r="AC128" s="12">
        <v>0</v>
      </c>
      <c r="AD128" s="13">
        <v>63</v>
      </c>
      <c r="AE128" s="5"/>
      <c r="AF128" s="5"/>
      <c r="AG128" s="5">
        <v>1</v>
      </c>
      <c r="AH128" s="5">
        <v>1</v>
      </c>
      <c r="AI128" s="7">
        <v>46079.443749999999</v>
      </c>
      <c r="AJ128" s="5" t="s">
        <v>140</v>
      </c>
      <c r="AK128" s="5" t="s">
        <v>725</v>
      </c>
      <c r="AL128" s="7">
        <v>46076.793078703704</v>
      </c>
      <c r="AM128" s="7" t="s">
        <v>197</v>
      </c>
      <c r="AN128" s="7" t="s">
        <v>726</v>
      </c>
      <c r="AO128" s="7" t="s">
        <v>58</v>
      </c>
    </row>
    <row r="129" spans="1:41" x14ac:dyDescent="0.25">
      <c r="A129" s="5" t="s">
        <v>42</v>
      </c>
      <c r="B129" s="6" t="s">
        <v>43</v>
      </c>
      <c r="C129" s="5">
        <v>4</v>
      </c>
      <c r="D129" s="5" t="s">
        <v>44</v>
      </c>
      <c r="E129" s="7" t="s">
        <v>45</v>
      </c>
      <c r="F129" s="5">
        <v>20502</v>
      </c>
      <c r="G129" s="8">
        <v>46074</v>
      </c>
      <c r="H129" s="8">
        <v>46074</v>
      </c>
      <c r="I129" s="8">
        <v>46074</v>
      </c>
      <c r="J129" s="8">
        <v>46074</v>
      </c>
      <c r="K129" s="9" t="s">
        <v>46</v>
      </c>
      <c r="L129" s="7" t="s">
        <v>47</v>
      </c>
      <c r="M129" s="5" t="s">
        <v>48</v>
      </c>
      <c r="N129" s="5" t="s">
        <v>49</v>
      </c>
      <c r="O129" s="5" t="s">
        <v>50</v>
      </c>
      <c r="P129" s="7" t="s">
        <v>51</v>
      </c>
      <c r="Q129" s="7" t="s">
        <v>51</v>
      </c>
      <c r="R129" s="10" t="s">
        <v>727</v>
      </c>
      <c r="S129" s="7" t="s">
        <v>728</v>
      </c>
      <c r="T129" s="11">
        <v>11.4</v>
      </c>
      <c r="U129" s="12">
        <v>0</v>
      </c>
      <c r="V129" s="7" t="s">
        <v>54</v>
      </c>
      <c r="W129" s="12">
        <v>0</v>
      </c>
      <c r="X129" s="5" t="s">
        <v>729</v>
      </c>
      <c r="Y129" s="12">
        <v>281.27999999999997</v>
      </c>
      <c r="Z129" s="12">
        <v>0.13</v>
      </c>
      <c r="AA129" s="12">
        <v>106.15</v>
      </c>
      <c r="AB129" s="12">
        <v>175</v>
      </c>
      <c r="AC129" s="12">
        <v>0</v>
      </c>
      <c r="AD129" s="13">
        <v>84</v>
      </c>
      <c r="AE129" s="5"/>
      <c r="AF129" s="5"/>
      <c r="AG129" s="5">
        <v>0</v>
      </c>
      <c r="AH129" s="5">
        <v>0</v>
      </c>
      <c r="AI129" s="7"/>
      <c r="AJ129" s="5"/>
      <c r="AK129" s="5"/>
      <c r="AL129" s="7">
        <v>46076.642500000002</v>
      </c>
      <c r="AM129" s="7" t="s">
        <v>197</v>
      </c>
      <c r="AN129" s="7" t="s">
        <v>730</v>
      </c>
      <c r="AO129" s="7" t="s">
        <v>58</v>
      </c>
    </row>
    <row r="130" spans="1:41" x14ac:dyDescent="0.25">
      <c r="A130" s="5" t="s">
        <v>42</v>
      </c>
      <c r="B130" s="6" t="s">
        <v>43</v>
      </c>
      <c r="C130" s="5">
        <v>4</v>
      </c>
      <c r="D130" s="5" t="s">
        <v>44</v>
      </c>
      <c r="E130" s="7" t="s">
        <v>45</v>
      </c>
      <c r="F130" s="5">
        <v>20505</v>
      </c>
      <c r="G130" s="8">
        <v>46074</v>
      </c>
      <c r="H130" s="8">
        <v>46074</v>
      </c>
      <c r="I130" s="8">
        <v>46074</v>
      </c>
      <c r="J130" s="8">
        <v>46074</v>
      </c>
      <c r="K130" s="9" t="s">
        <v>46</v>
      </c>
      <c r="L130" s="7" t="s">
        <v>47</v>
      </c>
      <c r="M130" s="5" t="s">
        <v>48</v>
      </c>
      <c r="N130" s="5" t="s">
        <v>49</v>
      </c>
      <c r="O130" s="5" t="s">
        <v>59</v>
      </c>
      <c r="P130" s="7" t="s">
        <v>51</v>
      </c>
      <c r="Q130" s="7" t="s">
        <v>51</v>
      </c>
      <c r="R130" s="10" t="s">
        <v>731</v>
      </c>
      <c r="S130" s="7" t="s">
        <v>732</v>
      </c>
      <c r="T130" s="11">
        <v>13.1</v>
      </c>
      <c r="U130" s="12">
        <v>0</v>
      </c>
      <c r="V130" s="7" t="s">
        <v>733</v>
      </c>
      <c r="W130" s="12">
        <v>0</v>
      </c>
      <c r="X130" s="5" t="s">
        <v>734</v>
      </c>
      <c r="Y130" s="12">
        <v>296.01</v>
      </c>
      <c r="Z130" s="12">
        <v>0.11</v>
      </c>
      <c r="AA130" s="12">
        <v>92.45</v>
      </c>
      <c r="AB130" s="12">
        <v>203.45</v>
      </c>
      <c r="AC130" s="12">
        <v>0</v>
      </c>
      <c r="AD130" s="13">
        <v>59</v>
      </c>
      <c r="AE130" s="5"/>
      <c r="AF130" s="5"/>
      <c r="AG130" s="5">
        <v>0</v>
      </c>
      <c r="AH130" s="5">
        <v>0</v>
      </c>
      <c r="AI130" s="7"/>
      <c r="AJ130" s="5"/>
      <c r="AK130" s="5"/>
      <c r="AL130" s="7">
        <v>46076.598252314812</v>
      </c>
      <c r="AM130" s="7" t="s">
        <v>56</v>
      </c>
      <c r="AN130" s="7" t="s">
        <v>735</v>
      </c>
      <c r="AO130" s="7" t="s">
        <v>58</v>
      </c>
    </row>
    <row r="131" spans="1:41" x14ac:dyDescent="0.25">
      <c r="A131" s="5" t="s">
        <v>42</v>
      </c>
      <c r="B131" s="6" t="s">
        <v>43</v>
      </c>
      <c r="C131" s="5">
        <v>4</v>
      </c>
      <c r="D131" s="5" t="s">
        <v>44</v>
      </c>
      <c r="E131" s="7" t="s">
        <v>45</v>
      </c>
      <c r="F131" s="5">
        <v>20507</v>
      </c>
      <c r="G131" s="8">
        <v>46074</v>
      </c>
      <c r="H131" s="8">
        <v>46074</v>
      </c>
      <c r="I131" s="8">
        <v>46074</v>
      </c>
      <c r="J131" s="8">
        <v>46074</v>
      </c>
      <c r="K131" s="9" t="s">
        <v>46</v>
      </c>
      <c r="L131" s="7" t="s">
        <v>47</v>
      </c>
      <c r="M131" s="5" t="s">
        <v>48</v>
      </c>
      <c r="N131" s="5" t="s">
        <v>49</v>
      </c>
      <c r="O131" s="5" t="s">
        <v>50</v>
      </c>
      <c r="P131" s="7" t="s">
        <v>51</v>
      </c>
      <c r="Q131" s="7" t="s">
        <v>51</v>
      </c>
      <c r="R131" s="10" t="s">
        <v>736</v>
      </c>
      <c r="S131" s="7" t="s">
        <v>737</v>
      </c>
      <c r="T131" s="11">
        <v>11.4</v>
      </c>
      <c r="U131" s="12">
        <v>0</v>
      </c>
      <c r="V131" s="7" t="s">
        <v>738</v>
      </c>
      <c r="W131" s="12">
        <v>0</v>
      </c>
      <c r="X131" s="5" t="s">
        <v>739</v>
      </c>
      <c r="Y131" s="12">
        <v>281.27999999999997</v>
      </c>
      <c r="Z131" s="12">
        <v>0.13</v>
      </c>
      <c r="AA131" s="12">
        <v>106.15</v>
      </c>
      <c r="AB131" s="12">
        <v>175</v>
      </c>
      <c r="AC131" s="12">
        <v>0</v>
      </c>
      <c r="AD131" s="13">
        <v>11</v>
      </c>
      <c r="AE131" s="5"/>
      <c r="AF131" s="5"/>
      <c r="AG131" s="5">
        <v>0</v>
      </c>
      <c r="AH131" s="5">
        <v>0</v>
      </c>
      <c r="AI131" s="7"/>
      <c r="AJ131" s="5"/>
      <c r="AK131" s="5"/>
      <c r="AL131" s="7">
        <v>46076.64303240741</v>
      </c>
      <c r="AM131" s="7" t="s">
        <v>197</v>
      </c>
      <c r="AN131" s="7" t="s">
        <v>740</v>
      </c>
      <c r="AO131" s="7" t="s">
        <v>58</v>
      </c>
    </row>
    <row r="132" spans="1:41" x14ac:dyDescent="0.25">
      <c r="A132" s="5" t="s">
        <v>42</v>
      </c>
      <c r="B132" s="6" t="s">
        <v>43</v>
      </c>
      <c r="C132" s="5">
        <v>4</v>
      </c>
      <c r="D132" s="5" t="s">
        <v>44</v>
      </c>
      <c r="E132" s="7" t="s">
        <v>45</v>
      </c>
      <c r="F132" s="5">
        <v>20508</v>
      </c>
      <c r="G132" s="8">
        <v>46074</v>
      </c>
      <c r="H132" s="8">
        <v>46074</v>
      </c>
      <c r="I132" s="8">
        <v>46074</v>
      </c>
      <c r="J132" s="8">
        <v>46074</v>
      </c>
      <c r="K132" s="9" t="s">
        <v>46</v>
      </c>
      <c r="L132" s="7" t="s">
        <v>47</v>
      </c>
      <c r="M132" s="5" t="s">
        <v>48</v>
      </c>
      <c r="N132" s="5" t="s">
        <v>49</v>
      </c>
      <c r="O132" s="5" t="s">
        <v>59</v>
      </c>
      <c r="P132" s="7" t="s">
        <v>51</v>
      </c>
      <c r="Q132" s="7" t="s">
        <v>51</v>
      </c>
      <c r="R132" s="10" t="s">
        <v>741</v>
      </c>
      <c r="S132" s="7" t="s">
        <v>742</v>
      </c>
      <c r="T132" s="11">
        <v>13.1</v>
      </c>
      <c r="U132" s="12">
        <v>0</v>
      </c>
      <c r="V132" s="7" t="s">
        <v>743</v>
      </c>
      <c r="W132" s="12">
        <v>0</v>
      </c>
      <c r="X132" s="5" t="s">
        <v>744</v>
      </c>
      <c r="Y132" s="12">
        <v>296.01</v>
      </c>
      <c r="Z132" s="12">
        <v>0.11</v>
      </c>
      <c r="AA132" s="12">
        <v>92.45</v>
      </c>
      <c r="AB132" s="12">
        <v>203.45</v>
      </c>
      <c r="AC132" s="12">
        <v>0</v>
      </c>
      <c r="AD132" s="13">
        <v>14</v>
      </c>
      <c r="AE132" s="5"/>
      <c r="AF132" s="5"/>
      <c r="AG132" s="5">
        <v>0</v>
      </c>
      <c r="AH132" s="5">
        <v>0</v>
      </c>
      <c r="AI132" s="7"/>
      <c r="AJ132" s="5"/>
      <c r="AK132" s="5"/>
      <c r="AL132" s="7">
        <v>46076.598506944443</v>
      </c>
      <c r="AM132" s="7" t="s">
        <v>56</v>
      </c>
      <c r="AN132" s="7" t="s">
        <v>745</v>
      </c>
      <c r="AO132" s="7" t="s">
        <v>58</v>
      </c>
    </row>
    <row r="133" spans="1:41" x14ac:dyDescent="0.25">
      <c r="A133" s="5" t="s">
        <v>42</v>
      </c>
      <c r="B133" s="6" t="s">
        <v>43</v>
      </c>
      <c r="C133" s="5">
        <v>3</v>
      </c>
      <c r="D133" s="5" t="s">
        <v>451</v>
      </c>
      <c r="E133" s="7" t="s">
        <v>93</v>
      </c>
      <c r="F133" s="5">
        <v>20590</v>
      </c>
      <c r="G133" s="8">
        <v>46075</v>
      </c>
      <c r="H133" s="8">
        <v>46075</v>
      </c>
      <c r="I133" s="8">
        <v>46075</v>
      </c>
      <c r="J133" s="8">
        <v>46075</v>
      </c>
      <c r="K133" s="9" t="s">
        <v>187</v>
      </c>
      <c r="L133" s="7" t="s">
        <v>188</v>
      </c>
      <c r="M133" s="5" t="s">
        <v>189</v>
      </c>
      <c r="N133" s="5" t="s">
        <v>49</v>
      </c>
      <c r="O133" s="5" t="s">
        <v>304</v>
      </c>
      <c r="P133" s="7" t="s">
        <v>51</v>
      </c>
      <c r="Q133" s="7" t="s">
        <v>305</v>
      </c>
      <c r="R133" s="10" t="s">
        <v>746</v>
      </c>
      <c r="S133" s="7" t="s">
        <v>747</v>
      </c>
      <c r="T133" s="11">
        <v>18.399999999999999</v>
      </c>
      <c r="U133" s="12">
        <v>0</v>
      </c>
      <c r="V133" s="7" t="s">
        <v>748</v>
      </c>
      <c r="W133" s="12">
        <v>0</v>
      </c>
      <c r="X133" s="5" t="s">
        <v>749</v>
      </c>
      <c r="Y133" s="12">
        <v>328.56</v>
      </c>
      <c r="Z133" s="12">
        <v>166.34</v>
      </c>
      <c r="AA133" s="12">
        <v>162.22</v>
      </c>
      <c r="AB133" s="12">
        <v>0</v>
      </c>
      <c r="AC133" s="12">
        <v>0</v>
      </c>
      <c r="AD133" s="13">
        <v>15</v>
      </c>
      <c r="AE133" s="5"/>
      <c r="AF133" s="5"/>
      <c r="AG133" s="5">
        <v>0</v>
      </c>
      <c r="AH133" s="5">
        <v>0</v>
      </c>
      <c r="AI133" s="7"/>
      <c r="AJ133" s="5" t="s">
        <v>58</v>
      </c>
      <c r="AK133" s="5"/>
      <c r="AL133" s="7">
        <v>46075.514606481483</v>
      </c>
      <c r="AM133" s="7" t="s">
        <v>197</v>
      </c>
      <c r="AN133" s="7" t="s">
        <v>750</v>
      </c>
      <c r="AO133" s="7" t="s">
        <v>58</v>
      </c>
    </row>
    <row r="134" spans="1:41" x14ac:dyDescent="0.25">
      <c r="A134" s="5" t="s">
        <v>42</v>
      </c>
      <c r="B134" s="6" t="s">
        <v>43</v>
      </c>
      <c r="C134" s="5">
        <v>3</v>
      </c>
      <c r="D134" s="5" t="s">
        <v>451</v>
      </c>
      <c r="E134" s="7" t="s">
        <v>93</v>
      </c>
      <c r="F134" s="5">
        <v>20591</v>
      </c>
      <c r="G134" s="8">
        <v>46075</v>
      </c>
      <c r="H134" s="8">
        <v>46075</v>
      </c>
      <c r="I134" s="8">
        <v>46075</v>
      </c>
      <c r="J134" s="8">
        <v>46075</v>
      </c>
      <c r="K134" s="9" t="s">
        <v>187</v>
      </c>
      <c r="L134" s="7" t="s">
        <v>188</v>
      </c>
      <c r="M134" s="5" t="s">
        <v>189</v>
      </c>
      <c r="N134" s="5" t="s">
        <v>49</v>
      </c>
      <c r="O134" s="5" t="s">
        <v>312</v>
      </c>
      <c r="P134" s="7" t="s">
        <v>51</v>
      </c>
      <c r="Q134" s="7" t="s">
        <v>305</v>
      </c>
      <c r="R134" s="10" t="s">
        <v>751</v>
      </c>
      <c r="S134" s="7" t="s">
        <v>752</v>
      </c>
      <c r="T134" s="11">
        <v>23</v>
      </c>
      <c r="U134" s="12">
        <v>0</v>
      </c>
      <c r="V134" s="7" t="s">
        <v>751</v>
      </c>
      <c r="W134" s="12">
        <v>0</v>
      </c>
      <c r="X134" s="5" t="s">
        <v>753</v>
      </c>
      <c r="Y134" s="12">
        <v>409.52</v>
      </c>
      <c r="Z134" s="12">
        <v>207.92</v>
      </c>
      <c r="AA134" s="12">
        <v>201.6</v>
      </c>
      <c r="AB134" s="12">
        <v>0</v>
      </c>
      <c r="AC134" s="12">
        <v>0</v>
      </c>
      <c r="AD134" s="13">
        <v>9</v>
      </c>
      <c r="AE134" s="5"/>
      <c r="AF134" s="5"/>
      <c r="AG134" s="5">
        <v>0</v>
      </c>
      <c r="AH134" s="5">
        <v>0</v>
      </c>
      <c r="AI134" s="7"/>
      <c r="AJ134" s="5" t="s">
        <v>58</v>
      </c>
      <c r="AK134" s="5"/>
      <c r="AL134" s="7">
        <v>46076.79724537037</v>
      </c>
      <c r="AM134" s="7" t="s">
        <v>197</v>
      </c>
      <c r="AN134" s="7" t="s">
        <v>754</v>
      </c>
      <c r="AO134" s="7" t="s">
        <v>58</v>
      </c>
    </row>
    <row r="135" spans="1:41" x14ac:dyDescent="0.25">
      <c r="A135" s="5" t="s">
        <v>42</v>
      </c>
      <c r="B135" s="6" t="s">
        <v>43</v>
      </c>
      <c r="C135" s="5">
        <v>3</v>
      </c>
      <c r="D135" s="5" t="s">
        <v>451</v>
      </c>
      <c r="E135" s="7" t="s">
        <v>74</v>
      </c>
      <c r="F135" s="5">
        <v>20671</v>
      </c>
      <c r="G135" s="8">
        <v>46075</v>
      </c>
      <c r="H135" s="8">
        <v>46075</v>
      </c>
      <c r="I135" s="8">
        <v>46075</v>
      </c>
      <c r="J135" s="8">
        <v>46075</v>
      </c>
      <c r="K135" s="9" t="s">
        <v>187</v>
      </c>
      <c r="L135" s="7" t="s">
        <v>188</v>
      </c>
      <c r="M135" s="5" t="s">
        <v>189</v>
      </c>
      <c r="N135" s="5" t="s">
        <v>49</v>
      </c>
      <c r="O135" s="5" t="s">
        <v>290</v>
      </c>
      <c r="P135" s="7" t="s">
        <v>51</v>
      </c>
      <c r="Q135" s="7" t="s">
        <v>51</v>
      </c>
      <c r="R135" s="10" t="s">
        <v>755</v>
      </c>
      <c r="S135" s="7" t="s">
        <v>756</v>
      </c>
      <c r="T135" s="11">
        <v>12.6</v>
      </c>
      <c r="U135" s="12">
        <v>0</v>
      </c>
      <c r="V135" s="7" t="s">
        <v>757</v>
      </c>
      <c r="W135" s="12">
        <v>0</v>
      </c>
      <c r="X135" s="5" t="s">
        <v>758</v>
      </c>
      <c r="Y135" s="12">
        <v>397.38</v>
      </c>
      <c r="Z135" s="12">
        <v>113.9</v>
      </c>
      <c r="AA135" s="12">
        <v>108.48</v>
      </c>
      <c r="AB135" s="12">
        <v>175</v>
      </c>
      <c r="AC135" s="12">
        <v>0</v>
      </c>
      <c r="AD135" s="13">
        <v>14</v>
      </c>
      <c r="AE135" s="5"/>
      <c r="AF135" s="5"/>
      <c r="AG135" s="5">
        <v>0</v>
      </c>
      <c r="AH135" s="5">
        <v>0</v>
      </c>
      <c r="AI135" s="7"/>
      <c r="AJ135" s="5"/>
      <c r="AK135" s="5"/>
      <c r="AL135" s="7">
        <v>46075.511423611111</v>
      </c>
      <c r="AM135" s="7" t="s">
        <v>197</v>
      </c>
      <c r="AN135" s="7" t="s">
        <v>759</v>
      </c>
      <c r="AO135" s="7" t="s">
        <v>58</v>
      </c>
    </row>
    <row r="136" spans="1:41" x14ac:dyDescent="0.25">
      <c r="A136" s="5" t="s">
        <v>42</v>
      </c>
      <c r="B136" s="6" t="s">
        <v>43</v>
      </c>
      <c r="C136" s="5">
        <v>3</v>
      </c>
      <c r="D136" s="5" t="s">
        <v>451</v>
      </c>
      <c r="E136" s="7" t="s">
        <v>74</v>
      </c>
      <c r="F136" s="5">
        <v>20674</v>
      </c>
      <c r="G136" s="8">
        <v>46075</v>
      </c>
      <c r="H136" s="8">
        <v>46075</v>
      </c>
      <c r="I136" s="8">
        <v>46075</v>
      </c>
      <c r="J136" s="8">
        <v>46075</v>
      </c>
      <c r="K136" s="9" t="s">
        <v>187</v>
      </c>
      <c r="L136" s="7" t="s">
        <v>188</v>
      </c>
      <c r="M136" s="5" t="s">
        <v>189</v>
      </c>
      <c r="N136" s="5" t="s">
        <v>49</v>
      </c>
      <c r="O136" s="5" t="s">
        <v>296</v>
      </c>
      <c r="P136" s="7" t="s">
        <v>51</v>
      </c>
      <c r="Q136" s="7" t="s">
        <v>51</v>
      </c>
      <c r="R136" s="10" t="s">
        <v>760</v>
      </c>
      <c r="S136" s="7" t="s">
        <v>761</v>
      </c>
      <c r="T136" s="11">
        <v>12.3</v>
      </c>
      <c r="U136" s="12">
        <v>0</v>
      </c>
      <c r="V136" s="7" t="s">
        <v>760</v>
      </c>
      <c r="W136" s="12">
        <v>0</v>
      </c>
      <c r="X136" s="5" t="s">
        <v>762</v>
      </c>
      <c r="Y136" s="12">
        <v>420.59</v>
      </c>
      <c r="Z136" s="12">
        <v>111.19</v>
      </c>
      <c r="AA136" s="12">
        <v>105.95</v>
      </c>
      <c r="AB136" s="12">
        <v>203.45</v>
      </c>
      <c r="AC136" s="12">
        <v>0</v>
      </c>
      <c r="AD136" s="13"/>
      <c r="AE136" s="5"/>
      <c r="AF136" s="5"/>
      <c r="AG136" s="5">
        <v>0</v>
      </c>
      <c r="AH136" s="5">
        <v>0</v>
      </c>
      <c r="AI136" s="7"/>
      <c r="AJ136" s="5"/>
      <c r="AK136" s="5"/>
      <c r="AL136" s="7">
        <v>46077.716064814813</v>
      </c>
      <c r="AM136" s="7" t="s">
        <v>197</v>
      </c>
      <c r="AN136" s="7" t="s">
        <v>763</v>
      </c>
      <c r="AO136" s="7" t="s">
        <v>58</v>
      </c>
    </row>
    <row r="137" spans="1:41" x14ac:dyDescent="0.25">
      <c r="A137" s="5" t="s">
        <v>42</v>
      </c>
      <c r="B137" s="6" t="s">
        <v>43</v>
      </c>
      <c r="C137" s="5">
        <v>2</v>
      </c>
      <c r="D137" s="5" t="s">
        <v>451</v>
      </c>
      <c r="E137" s="7" t="s">
        <v>45</v>
      </c>
      <c r="F137" s="5">
        <v>21211</v>
      </c>
      <c r="G137" s="8">
        <v>46075</v>
      </c>
      <c r="H137" s="8"/>
      <c r="I137" s="8">
        <v>46075</v>
      </c>
      <c r="J137" s="8"/>
      <c r="K137" s="9" t="s">
        <v>46</v>
      </c>
      <c r="L137" s="7" t="s">
        <v>47</v>
      </c>
      <c r="M137" s="5" t="s">
        <v>48</v>
      </c>
      <c r="N137" s="5" t="s">
        <v>49</v>
      </c>
      <c r="O137" s="5" t="s">
        <v>50</v>
      </c>
      <c r="P137" s="7" t="s">
        <v>51</v>
      </c>
      <c r="Q137" s="7" t="s">
        <v>51</v>
      </c>
      <c r="R137" s="10" t="s">
        <v>764</v>
      </c>
      <c r="S137" s="7" t="s">
        <v>765</v>
      </c>
      <c r="T137" s="11">
        <v>11.4</v>
      </c>
      <c r="U137" s="12">
        <v>0</v>
      </c>
      <c r="V137" s="7" t="s">
        <v>54</v>
      </c>
      <c r="W137" s="12">
        <v>0</v>
      </c>
      <c r="X137" s="5" t="s">
        <v>766</v>
      </c>
      <c r="Y137" s="12">
        <v>281.12</v>
      </c>
      <c r="Z137" s="12">
        <v>0.13</v>
      </c>
      <c r="AA137" s="12">
        <v>105.99</v>
      </c>
      <c r="AB137" s="12">
        <v>175</v>
      </c>
      <c r="AC137" s="12">
        <v>0</v>
      </c>
      <c r="AD137" s="13"/>
      <c r="AE137" s="5"/>
      <c r="AF137" s="5"/>
      <c r="AG137" s="5">
        <v>0</v>
      </c>
      <c r="AH137" s="5">
        <v>0</v>
      </c>
      <c r="AI137" s="7"/>
      <c r="AJ137" s="5"/>
      <c r="AK137" s="5"/>
      <c r="AL137" s="7">
        <v>46078.752835648149</v>
      </c>
      <c r="AM137" s="7" t="s">
        <v>197</v>
      </c>
      <c r="AN137" s="7" t="s">
        <v>526</v>
      </c>
      <c r="AO137" s="7" t="s">
        <v>58</v>
      </c>
    </row>
    <row r="138" spans="1:41" x14ac:dyDescent="0.25">
      <c r="A138" s="5" t="s">
        <v>42</v>
      </c>
      <c r="B138" s="6" t="s">
        <v>43</v>
      </c>
      <c r="C138" s="5">
        <v>4</v>
      </c>
      <c r="D138" s="5" t="s">
        <v>44</v>
      </c>
      <c r="E138" s="7" t="s">
        <v>45</v>
      </c>
      <c r="F138" s="5">
        <v>21212</v>
      </c>
      <c r="G138" s="8">
        <v>46075</v>
      </c>
      <c r="H138" s="8">
        <v>46075</v>
      </c>
      <c r="I138" s="8">
        <v>46075</v>
      </c>
      <c r="J138" s="8">
        <v>46075</v>
      </c>
      <c r="K138" s="9" t="s">
        <v>46</v>
      </c>
      <c r="L138" s="7" t="s">
        <v>47</v>
      </c>
      <c r="M138" s="5" t="s">
        <v>48</v>
      </c>
      <c r="N138" s="5" t="s">
        <v>49</v>
      </c>
      <c r="O138" s="5" t="s">
        <v>59</v>
      </c>
      <c r="P138" s="7" t="s">
        <v>51</v>
      </c>
      <c r="Q138" s="7" t="s">
        <v>51</v>
      </c>
      <c r="R138" s="10" t="s">
        <v>767</v>
      </c>
      <c r="S138" s="7" t="s">
        <v>768</v>
      </c>
      <c r="T138" s="11">
        <v>13.1</v>
      </c>
      <c r="U138" s="12">
        <v>0</v>
      </c>
      <c r="V138" s="7" t="s">
        <v>769</v>
      </c>
      <c r="W138" s="12">
        <v>0</v>
      </c>
      <c r="X138" s="5" t="s">
        <v>770</v>
      </c>
      <c r="Y138" s="12">
        <v>295.86</v>
      </c>
      <c r="Z138" s="12">
        <v>0.11</v>
      </c>
      <c r="AA138" s="12">
        <v>92.3</v>
      </c>
      <c r="AB138" s="12">
        <v>203.45</v>
      </c>
      <c r="AC138" s="12">
        <v>0</v>
      </c>
      <c r="AD138" s="13"/>
      <c r="AE138" s="5"/>
      <c r="AF138" s="5"/>
      <c r="AG138" s="5">
        <v>0</v>
      </c>
      <c r="AH138" s="5">
        <v>0</v>
      </c>
      <c r="AI138" s="7"/>
      <c r="AJ138" s="5"/>
      <c r="AK138" s="5"/>
      <c r="AL138" s="7">
        <v>46078.857118055559</v>
      </c>
      <c r="AM138" s="7" t="s">
        <v>197</v>
      </c>
      <c r="AN138" s="7" t="s">
        <v>526</v>
      </c>
      <c r="AO138" s="7" t="s">
        <v>58</v>
      </c>
    </row>
    <row r="139" spans="1:41" x14ac:dyDescent="0.25">
      <c r="A139" s="5" t="s">
        <v>42</v>
      </c>
      <c r="B139" s="6" t="s">
        <v>43</v>
      </c>
      <c r="C139" s="5">
        <v>2</v>
      </c>
      <c r="D139" s="5" t="s">
        <v>451</v>
      </c>
      <c r="E139" s="7" t="s">
        <v>45</v>
      </c>
      <c r="F139" s="5">
        <v>21213</v>
      </c>
      <c r="G139" s="8">
        <v>46075</v>
      </c>
      <c r="H139" s="8"/>
      <c r="I139" s="8">
        <v>46075</v>
      </c>
      <c r="J139" s="8"/>
      <c r="K139" s="9" t="s">
        <v>46</v>
      </c>
      <c r="L139" s="7" t="s">
        <v>47</v>
      </c>
      <c r="M139" s="5" t="s">
        <v>48</v>
      </c>
      <c r="N139" s="5" t="s">
        <v>49</v>
      </c>
      <c r="O139" s="5" t="s">
        <v>50</v>
      </c>
      <c r="P139" s="7" t="s">
        <v>51</v>
      </c>
      <c r="Q139" s="7" t="s">
        <v>51</v>
      </c>
      <c r="R139" s="10" t="s">
        <v>771</v>
      </c>
      <c r="S139" s="7" t="s">
        <v>772</v>
      </c>
      <c r="T139" s="11">
        <v>11.4</v>
      </c>
      <c r="U139" s="12">
        <v>0</v>
      </c>
      <c r="V139" s="7" t="s">
        <v>54</v>
      </c>
      <c r="W139" s="12">
        <v>0</v>
      </c>
      <c r="X139" s="5" t="s">
        <v>773</v>
      </c>
      <c r="Y139" s="12">
        <v>281.12</v>
      </c>
      <c r="Z139" s="12">
        <v>0.13</v>
      </c>
      <c r="AA139" s="12">
        <v>105.99</v>
      </c>
      <c r="AB139" s="12">
        <v>175</v>
      </c>
      <c r="AC139" s="12">
        <v>0</v>
      </c>
      <c r="AD139" s="13"/>
      <c r="AE139" s="5"/>
      <c r="AF139" s="5"/>
      <c r="AG139" s="5">
        <v>0</v>
      </c>
      <c r="AH139" s="5">
        <v>0</v>
      </c>
      <c r="AI139" s="7"/>
      <c r="AJ139" s="5"/>
      <c r="AK139" s="5"/>
      <c r="AL139" s="7">
        <v>46078.750173611108</v>
      </c>
      <c r="AM139" s="7" t="s">
        <v>197</v>
      </c>
      <c r="AN139" s="7" t="s">
        <v>740</v>
      </c>
      <c r="AO139" s="7" t="s">
        <v>58</v>
      </c>
    </row>
    <row r="140" spans="1:41" x14ac:dyDescent="0.25">
      <c r="A140" s="5" t="s">
        <v>42</v>
      </c>
      <c r="B140" s="6" t="s">
        <v>43</v>
      </c>
      <c r="C140" s="5">
        <v>4</v>
      </c>
      <c r="D140" s="5" t="s">
        <v>44</v>
      </c>
      <c r="E140" s="7" t="s">
        <v>45</v>
      </c>
      <c r="F140" s="5">
        <v>21214</v>
      </c>
      <c r="G140" s="8">
        <v>46075</v>
      </c>
      <c r="H140" s="8">
        <v>46075</v>
      </c>
      <c r="I140" s="8">
        <v>46075</v>
      </c>
      <c r="J140" s="8">
        <v>46075</v>
      </c>
      <c r="K140" s="9" t="s">
        <v>46</v>
      </c>
      <c r="L140" s="7" t="s">
        <v>47</v>
      </c>
      <c r="M140" s="5" t="s">
        <v>48</v>
      </c>
      <c r="N140" s="5" t="s">
        <v>49</v>
      </c>
      <c r="O140" s="5" t="s">
        <v>59</v>
      </c>
      <c r="P140" s="7" t="s">
        <v>51</v>
      </c>
      <c r="Q140" s="7" t="s">
        <v>51</v>
      </c>
      <c r="R140" s="10" t="s">
        <v>774</v>
      </c>
      <c r="S140" s="7" t="s">
        <v>775</v>
      </c>
      <c r="T140" s="11">
        <v>13.1</v>
      </c>
      <c r="U140" s="12">
        <v>0</v>
      </c>
      <c r="V140" s="7" t="s">
        <v>776</v>
      </c>
      <c r="W140" s="12">
        <v>0</v>
      </c>
      <c r="X140" s="5" t="s">
        <v>777</v>
      </c>
      <c r="Y140" s="12">
        <v>295.86</v>
      </c>
      <c r="Z140" s="12">
        <v>0.11</v>
      </c>
      <c r="AA140" s="12">
        <v>92.3</v>
      </c>
      <c r="AB140" s="12">
        <v>203.45</v>
      </c>
      <c r="AC140" s="12">
        <v>0</v>
      </c>
      <c r="AD140" s="13"/>
      <c r="AE140" s="5"/>
      <c r="AF140" s="5"/>
      <c r="AG140" s="5">
        <v>0</v>
      </c>
      <c r="AH140" s="5">
        <v>0</v>
      </c>
      <c r="AI140" s="7"/>
      <c r="AJ140" s="5"/>
      <c r="AK140" s="5"/>
      <c r="AL140" s="7">
        <v>46078.856249999997</v>
      </c>
      <c r="AM140" s="7" t="s">
        <v>197</v>
      </c>
      <c r="AN140" s="7" t="s">
        <v>740</v>
      </c>
      <c r="AO140" s="7" t="s">
        <v>58</v>
      </c>
    </row>
    <row r="141" spans="1:41" x14ac:dyDescent="0.25">
      <c r="A141" s="5" t="s">
        <v>42</v>
      </c>
      <c r="B141" s="6" t="s">
        <v>43</v>
      </c>
      <c r="C141" s="5">
        <v>3</v>
      </c>
      <c r="D141" s="5" t="s">
        <v>451</v>
      </c>
      <c r="E141" s="7" t="s">
        <v>74</v>
      </c>
      <c r="F141" s="5">
        <v>20399</v>
      </c>
      <c r="G141" s="8">
        <v>46076</v>
      </c>
      <c r="H141" s="8">
        <v>46076</v>
      </c>
      <c r="I141" s="8">
        <v>46076</v>
      </c>
      <c r="J141" s="8">
        <v>46076</v>
      </c>
      <c r="K141" s="9" t="s">
        <v>187</v>
      </c>
      <c r="L141" s="7" t="s">
        <v>188</v>
      </c>
      <c r="M141" s="5" t="s">
        <v>189</v>
      </c>
      <c r="N141" s="5" t="s">
        <v>49</v>
      </c>
      <c r="O141" s="5" t="s">
        <v>349</v>
      </c>
      <c r="P141" s="7" t="s">
        <v>51</v>
      </c>
      <c r="Q141" s="7" t="s">
        <v>51</v>
      </c>
      <c r="R141" s="10" t="s">
        <v>778</v>
      </c>
      <c r="S141" s="7" t="s">
        <v>779</v>
      </c>
      <c r="T141" s="11">
        <v>10.9</v>
      </c>
      <c r="U141" s="12">
        <v>0</v>
      </c>
      <c r="V141" s="7" t="s">
        <v>780</v>
      </c>
      <c r="W141" s="12">
        <v>0</v>
      </c>
      <c r="X141" s="5" t="s">
        <v>781</v>
      </c>
      <c r="Y141" s="12">
        <v>192.43</v>
      </c>
      <c r="Z141" s="12">
        <v>98.54</v>
      </c>
      <c r="AA141" s="12">
        <v>93.89</v>
      </c>
      <c r="AB141" s="12">
        <v>0</v>
      </c>
      <c r="AC141" s="12">
        <v>0</v>
      </c>
      <c r="AD141" s="13">
        <v>20</v>
      </c>
      <c r="AE141" s="5"/>
      <c r="AF141" s="5"/>
      <c r="AG141" s="5">
        <v>0</v>
      </c>
      <c r="AH141" s="5">
        <v>0</v>
      </c>
      <c r="AI141" s="7"/>
      <c r="AJ141" s="5"/>
      <c r="AK141" s="5"/>
      <c r="AL141" s="7">
        <v>46076.541134259256</v>
      </c>
      <c r="AM141" s="7" t="s">
        <v>140</v>
      </c>
      <c r="AN141" s="7" t="s">
        <v>782</v>
      </c>
      <c r="AO141" s="7" t="s">
        <v>58</v>
      </c>
    </row>
    <row r="142" spans="1:41" x14ac:dyDescent="0.25">
      <c r="A142" s="5" t="s">
        <v>42</v>
      </c>
      <c r="B142" s="6" t="s">
        <v>43</v>
      </c>
      <c r="C142" s="5">
        <v>3</v>
      </c>
      <c r="D142" s="5" t="s">
        <v>451</v>
      </c>
      <c r="E142" s="7" t="s">
        <v>74</v>
      </c>
      <c r="F142" s="5">
        <v>20400</v>
      </c>
      <c r="G142" s="8">
        <v>46076</v>
      </c>
      <c r="H142" s="8">
        <v>46076</v>
      </c>
      <c r="I142" s="8">
        <v>46076</v>
      </c>
      <c r="J142" s="8">
        <v>46076</v>
      </c>
      <c r="K142" s="9" t="s">
        <v>187</v>
      </c>
      <c r="L142" s="7" t="s">
        <v>188</v>
      </c>
      <c r="M142" s="5" t="s">
        <v>189</v>
      </c>
      <c r="N142" s="5" t="s">
        <v>49</v>
      </c>
      <c r="O142" s="5" t="s">
        <v>355</v>
      </c>
      <c r="P142" s="7" t="s">
        <v>51</v>
      </c>
      <c r="Q142" s="7" t="s">
        <v>51</v>
      </c>
      <c r="R142" s="10" t="s">
        <v>783</v>
      </c>
      <c r="S142" s="7" t="s">
        <v>784</v>
      </c>
      <c r="T142" s="11">
        <v>10.199999999999999</v>
      </c>
      <c r="U142" s="12">
        <v>0</v>
      </c>
      <c r="V142" s="7" t="s">
        <v>783</v>
      </c>
      <c r="W142" s="12">
        <v>0</v>
      </c>
      <c r="X142" s="5" t="s">
        <v>785</v>
      </c>
      <c r="Y142" s="12">
        <v>211.84</v>
      </c>
      <c r="Z142" s="12">
        <v>108.48</v>
      </c>
      <c r="AA142" s="12">
        <v>103.36</v>
      </c>
      <c r="AB142" s="12">
        <v>0</v>
      </c>
      <c r="AC142" s="12">
        <v>0</v>
      </c>
      <c r="AD142" s="13">
        <v>15</v>
      </c>
      <c r="AE142" s="5"/>
      <c r="AF142" s="5"/>
      <c r="AG142" s="5">
        <v>0</v>
      </c>
      <c r="AH142" s="5">
        <v>0</v>
      </c>
      <c r="AI142" s="7"/>
      <c r="AJ142" s="5"/>
      <c r="AK142" s="5"/>
      <c r="AL142" s="7">
        <v>46077.829317129632</v>
      </c>
      <c r="AM142" s="7" t="s">
        <v>197</v>
      </c>
      <c r="AN142" s="7" t="s">
        <v>786</v>
      </c>
      <c r="AO142" s="7" t="s">
        <v>58</v>
      </c>
    </row>
    <row r="143" spans="1:41" x14ac:dyDescent="0.25">
      <c r="A143" s="5" t="s">
        <v>42</v>
      </c>
      <c r="B143" s="6" t="s">
        <v>43</v>
      </c>
      <c r="C143" s="5">
        <v>3</v>
      </c>
      <c r="D143" s="5" t="s">
        <v>451</v>
      </c>
      <c r="E143" s="7" t="s">
        <v>74</v>
      </c>
      <c r="F143" s="5">
        <v>20639</v>
      </c>
      <c r="G143" s="8">
        <v>46076</v>
      </c>
      <c r="H143" s="8">
        <v>46076</v>
      </c>
      <c r="I143" s="8">
        <v>46076</v>
      </c>
      <c r="J143" s="8">
        <v>46076</v>
      </c>
      <c r="K143" s="9" t="s">
        <v>187</v>
      </c>
      <c r="L143" s="7" t="s">
        <v>188</v>
      </c>
      <c r="M143" s="5" t="s">
        <v>189</v>
      </c>
      <c r="N143" s="5" t="s">
        <v>49</v>
      </c>
      <c r="O143" s="5" t="s">
        <v>239</v>
      </c>
      <c r="P143" s="7" t="s">
        <v>51</v>
      </c>
      <c r="Q143" s="7" t="s">
        <v>240</v>
      </c>
      <c r="R143" s="10" t="s">
        <v>787</v>
      </c>
      <c r="S143" s="7" t="s">
        <v>788</v>
      </c>
      <c r="T143" s="11">
        <v>13.4</v>
      </c>
      <c r="U143" s="12">
        <v>0</v>
      </c>
      <c r="V143" s="7" t="s">
        <v>789</v>
      </c>
      <c r="W143" s="12">
        <v>0</v>
      </c>
      <c r="X143" s="5" t="s">
        <v>790</v>
      </c>
      <c r="Y143" s="12">
        <v>236.56</v>
      </c>
      <c r="Z143" s="12">
        <v>121.14</v>
      </c>
      <c r="AA143" s="12">
        <v>115.42</v>
      </c>
      <c r="AB143" s="12">
        <v>0</v>
      </c>
      <c r="AC143" s="12">
        <v>0</v>
      </c>
      <c r="AD143" s="13">
        <v>8</v>
      </c>
      <c r="AE143" s="5"/>
      <c r="AF143" s="5"/>
      <c r="AG143" s="5">
        <v>1</v>
      </c>
      <c r="AH143" s="5">
        <v>1</v>
      </c>
      <c r="AI143" s="7">
        <v>46079.427777777775</v>
      </c>
      <c r="AJ143" s="5" t="s">
        <v>83</v>
      </c>
      <c r="AK143" s="5" t="s">
        <v>196</v>
      </c>
      <c r="AL143" s="7">
        <v>46077.946469907409</v>
      </c>
      <c r="AM143" s="7" t="s">
        <v>92</v>
      </c>
      <c r="AN143" s="7" t="s">
        <v>791</v>
      </c>
      <c r="AO143" s="7" t="s">
        <v>58</v>
      </c>
    </row>
    <row r="144" spans="1:41" x14ac:dyDescent="0.25">
      <c r="A144" s="5" t="s">
        <v>42</v>
      </c>
      <c r="B144" s="6" t="s">
        <v>43</v>
      </c>
      <c r="C144" s="5">
        <v>3</v>
      </c>
      <c r="D144" s="5" t="s">
        <v>451</v>
      </c>
      <c r="E144" s="7" t="s">
        <v>74</v>
      </c>
      <c r="F144" s="5">
        <v>20640</v>
      </c>
      <c r="G144" s="8">
        <v>46076</v>
      </c>
      <c r="H144" s="8">
        <v>46076</v>
      </c>
      <c r="I144" s="8">
        <v>46076</v>
      </c>
      <c r="J144" s="8">
        <v>46076</v>
      </c>
      <c r="K144" s="9" t="s">
        <v>187</v>
      </c>
      <c r="L144" s="7" t="s">
        <v>188</v>
      </c>
      <c r="M144" s="5" t="s">
        <v>189</v>
      </c>
      <c r="N144" s="5" t="s">
        <v>49</v>
      </c>
      <c r="O144" s="5" t="s">
        <v>246</v>
      </c>
      <c r="P144" s="7" t="s">
        <v>240</v>
      </c>
      <c r="Q144" s="7" t="s">
        <v>51</v>
      </c>
      <c r="R144" s="10" t="s">
        <v>792</v>
      </c>
      <c r="S144" s="7" t="s">
        <v>793</v>
      </c>
      <c r="T144" s="11">
        <v>18.3</v>
      </c>
      <c r="U144" s="12">
        <v>0</v>
      </c>
      <c r="V144" s="7" t="s">
        <v>794</v>
      </c>
      <c r="W144" s="12">
        <v>0</v>
      </c>
      <c r="X144" s="5" t="s">
        <v>795</v>
      </c>
      <c r="Y144" s="12">
        <v>323.06</v>
      </c>
      <c r="Z144" s="12">
        <v>165.43</v>
      </c>
      <c r="AA144" s="12">
        <v>157.63</v>
      </c>
      <c r="AB144" s="12">
        <v>0</v>
      </c>
      <c r="AC144" s="12">
        <v>0</v>
      </c>
      <c r="AD144" s="13"/>
      <c r="AE144" s="5"/>
      <c r="AF144" s="5"/>
      <c r="AG144" s="5">
        <v>1</v>
      </c>
      <c r="AH144" s="5">
        <v>1</v>
      </c>
      <c r="AI144" s="7">
        <v>46079.427777777775</v>
      </c>
      <c r="AJ144" s="5" t="s">
        <v>83</v>
      </c>
      <c r="AK144" s="5" t="s">
        <v>196</v>
      </c>
      <c r="AL144" s="7">
        <v>46077.836446759262</v>
      </c>
      <c r="AM144" s="7" t="s">
        <v>197</v>
      </c>
      <c r="AN144" s="7" t="s">
        <v>796</v>
      </c>
      <c r="AO144" s="7" t="s">
        <v>58</v>
      </c>
    </row>
    <row r="145" spans="1:41" x14ac:dyDescent="0.25">
      <c r="A145" s="5" t="s">
        <v>42</v>
      </c>
      <c r="B145" s="6" t="s">
        <v>43</v>
      </c>
      <c r="C145" s="5">
        <v>3</v>
      </c>
      <c r="D145" s="5" t="s">
        <v>451</v>
      </c>
      <c r="E145" s="7" t="s">
        <v>74</v>
      </c>
      <c r="F145" s="5">
        <v>20708</v>
      </c>
      <c r="G145" s="8">
        <v>46076</v>
      </c>
      <c r="H145" s="8">
        <v>46076</v>
      </c>
      <c r="I145" s="8">
        <v>46076</v>
      </c>
      <c r="J145" s="8">
        <v>46076</v>
      </c>
      <c r="K145" s="9" t="s">
        <v>187</v>
      </c>
      <c r="L145" s="7" t="s">
        <v>188</v>
      </c>
      <c r="M145" s="5" t="s">
        <v>189</v>
      </c>
      <c r="N145" s="5" t="s">
        <v>49</v>
      </c>
      <c r="O145" s="5" t="s">
        <v>797</v>
      </c>
      <c r="P145" s="7" t="s">
        <v>51</v>
      </c>
      <c r="Q145" s="7" t="s">
        <v>51</v>
      </c>
      <c r="R145" s="10" t="s">
        <v>798</v>
      </c>
      <c r="S145" s="7" t="s">
        <v>799</v>
      </c>
      <c r="T145" s="11">
        <v>17.3</v>
      </c>
      <c r="U145" s="12">
        <v>0</v>
      </c>
      <c r="V145" s="7" t="s">
        <v>800</v>
      </c>
      <c r="W145" s="12">
        <v>0</v>
      </c>
      <c r="X145" s="5" t="s">
        <v>801</v>
      </c>
      <c r="Y145" s="12">
        <v>480.4</v>
      </c>
      <c r="Z145" s="12">
        <v>156.38999999999999</v>
      </c>
      <c r="AA145" s="12">
        <v>149.01</v>
      </c>
      <c r="AB145" s="12">
        <v>175</v>
      </c>
      <c r="AC145" s="12">
        <v>0</v>
      </c>
      <c r="AD145" s="13"/>
      <c r="AE145" s="5"/>
      <c r="AF145" s="5"/>
      <c r="AG145" s="5">
        <v>0</v>
      </c>
      <c r="AH145" s="5">
        <v>0</v>
      </c>
      <c r="AI145" s="7"/>
      <c r="AJ145" s="5"/>
      <c r="AK145" s="5"/>
      <c r="AL145" s="7">
        <v>46076.525833333333</v>
      </c>
      <c r="AM145" s="7" t="s">
        <v>85</v>
      </c>
      <c r="AN145" s="7" t="s">
        <v>289</v>
      </c>
      <c r="AO145" s="7" t="s">
        <v>58</v>
      </c>
    </row>
    <row r="146" spans="1:41" x14ac:dyDescent="0.25">
      <c r="A146" s="5" t="s">
        <v>42</v>
      </c>
      <c r="B146" s="6" t="s">
        <v>43</v>
      </c>
      <c r="C146" s="5">
        <v>3</v>
      </c>
      <c r="D146" s="5" t="s">
        <v>451</v>
      </c>
      <c r="E146" s="7" t="s">
        <v>74</v>
      </c>
      <c r="F146" s="5">
        <v>20709</v>
      </c>
      <c r="G146" s="8">
        <v>46076</v>
      </c>
      <c r="H146" s="8">
        <v>46076</v>
      </c>
      <c r="I146" s="8">
        <v>46076</v>
      </c>
      <c r="J146" s="8">
        <v>46076</v>
      </c>
      <c r="K146" s="9" t="s">
        <v>187</v>
      </c>
      <c r="L146" s="7" t="s">
        <v>188</v>
      </c>
      <c r="M146" s="5" t="s">
        <v>189</v>
      </c>
      <c r="N146" s="5" t="s">
        <v>49</v>
      </c>
      <c r="O146" s="5" t="s">
        <v>802</v>
      </c>
      <c r="P146" s="7" t="s">
        <v>51</v>
      </c>
      <c r="Q146" s="7" t="s">
        <v>51</v>
      </c>
      <c r="R146" s="10" t="s">
        <v>803</v>
      </c>
      <c r="S146" s="7" t="s">
        <v>804</v>
      </c>
      <c r="T146" s="11">
        <v>15.7</v>
      </c>
      <c r="U146" s="12">
        <v>0</v>
      </c>
      <c r="V146" s="7" t="s">
        <v>803</v>
      </c>
      <c r="W146" s="12">
        <v>0</v>
      </c>
      <c r="X146" s="5" t="s">
        <v>805</v>
      </c>
      <c r="Y146" s="12">
        <v>480.53</v>
      </c>
      <c r="Z146" s="12">
        <v>141.93</v>
      </c>
      <c r="AA146" s="12">
        <v>135.15</v>
      </c>
      <c r="AB146" s="12">
        <v>203.45</v>
      </c>
      <c r="AC146" s="12">
        <v>0</v>
      </c>
      <c r="AD146" s="13"/>
      <c r="AE146" s="5"/>
      <c r="AF146" s="5"/>
      <c r="AG146" s="5">
        <v>0</v>
      </c>
      <c r="AH146" s="5">
        <v>0</v>
      </c>
      <c r="AI146" s="7"/>
      <c r="AJ146" s="5"/>
      <c r="AK146" s="5"/>
      <c r="AL146" s="7">
        <v>46077.822025462963</v>
      </c>
      <c r="AM146" s="7" t="s">
        <v>197</v>
      </c>
      <c r="AN146" s="7" t="s">
        <v>806</v>
      </c>
      <c r="AO146" s="7" t="s">
        <v>58</v>
      </c>
    </row>
    <row r="147" spans="1:41" x14ac:dyDescent="0.25">
      <c r="A147" s="5" t="s">
        <v>42</v>
      </c>
      <c r="B147" s="6" t="s">
        <v>43</v>
      </c>
      <c r="C147" s="5">
        <v>3</v>
      </c>
      <c r="D147" s="5" t="s">
        <v>451</v>
      </c>
      <c r="E147" s="7" t="s">
        <v>93</v>
      </c>
      <c r="F147" s="5">
        <v>20908</v>
      </c>
      <c r="G147" s="8">
        <v>46076</v>
      </c>
      <c r="H147" s="8">
        <v>46076</v>
      </c>
      <c r="I147" s="8">
        <v>46076</v>
      </c>
      <c r="J147" s="8">
        <v>46076</v>
      </c>
      <c r="K147" s="9" t="s">
        <v>187</v>
      </c>
      <c r="L147" s="7" t="s">
        <v>188</v>
      </c>
      <c r="M147" s="5" t="s">
        <v>189</v>
      </c>
      <c r="N147" s="5" t="s">
        <v>49</v>
      </c>
      <c r="O147" s="5" t="s">
        <v>227</v>
      </c>
      <c r="P147" s="7" t="s">
        <v>51</v>
      </c>
      <c r="Q147" s="7" t="s">
        <v>51</v>
      </c>
      <c r="R147" s="10" t="s">
        <v>807</v>
      </c>
      <c r="S147" s="7" t="s">
        <v>808</v>
      </c>
      <c r="T147" s="11">
        <v>8.8000000000000007</v>
      </c>
      <c r="U147" s="12">
        <v>0</v>
      </c>
      <c r="V147" s="7" t="s">
        <v>809</v>
      </c>
      <c r="W147" s="12">
        <v>0</v>
      </c>
      <c r="X147" s="5" t="s">
        <v>810</v>
      </c>
      <c r="Y147" s="12">
        <v>155.35</v>
      </c>
      <c r="Z147" s="12">
        <v>79.55</v>
      </c>
      <c r="AA147" s="12">
        <v>75.8</v>
      </c>
      <c r="AB147" s="12">
        <v>0</v>
      </c>
      <c r="AC147" s="12">
        <v>0</v>
      </c>
      <c r="AD147" s="13"/>
      <c r="AE147" s="5"/>
      <c r="AF147" s="5"/>
      <c r="AG147" s="5">
        <v>1</v>
      </c>
      <c r="AH147" s="5">
        <v>1</v>
      </c>
      <c r="AI147" s="7">
        <v>46079.452777777777</v>
      </c>
      <c r="AJ147" s="5" t="s">
        <v>83</v>
      </c>
      <c r="AK147" s="5" t="s">
        <v>196</v>
      </c>
      <c r="AL147" s="7">
        <v>46076.953576388885</v>
      </c>
      <c r="AM147" s="7" t="s">
        <v>92</v>
      </c>
      <c r="AN147" s="7" t="s">
        <v>811</v>
      </c>
      <c r="AO147" s="7" t="s">
        <v>58</v>
      </c>
    </row>
    <row r="148" spans="1:41" x14ac:dyDescent="0.25">
      <c r="A148" s="5" t="s">
        <v>42</v>
      </c>
      <c r="B148" s="6" t="s">
        <v>43</v>
      </c>
      <c r="C148" s="5">
        <v>3</v>
      </c>
      <c r="D148" s="5" t="s">
        <v>451</v>
      </c>
      <c r="E148" s="7" t="s">
        <v>93</v>
      </c>
      <c r="F148" s="5">
        <v>20910</v>
      </c>
      <c r="G148" s="8">
        <v>46076</v>
      </c>
      <c r="H148" s="8">
        <v>46076</v>
      </c>
      <c r="I148" s="8">
        <v>46076</v>
      </c>
      <c r="J148" s="8">
        <v>46076</v>
      </c>
      <c r="K148" s="9" t="s">
        <v>187</v>
      </c>
      <c r="L148" s="7" t="s">
        <v>188</v>
      </c>
      <c r="M148" s="5" t="s">
        <v>189</v>
      </c>
      <c r="N148" s="5" t="s">
        <v>49</v>
      </c>
      <c r="O148" s="5" t="s">
        <v>233</v>
      </c>
      <c r="P148" s="7" t="s">
        <v>51</v>
      </c>
      <c r="Q148" s="7" t="s">
        <v>51</v>
      </c>
      <c r="R148" s="10" t="s">
        <v>812</v>
      </c>
      <c r="S148" s="7" t="s">
        <v>813</v>
      </c>
      <c r="T148" s="11">
        <v>7.8</v>
      </c>
      <c r="U148" s="12">
        <v>0</v>
      </c>
      <c r="V148" s="7" t="s">
        <v>814</v>
      </c>
      <c r="W148" s="12">
        <v>0</v>
      </c>
      <c r="X148" s="5" t="s">
        <v>815</v>
      </c>
      <c r="Y148" s="12">
        <v>176.54</v>
      </c>
      <c r="Z148" s="12">
        <v>90.4</v>
      </c>
      <c r="AA148" s="12">
        <v>86.14</v>
      </c>
      <c r="AB148" s="12">
        <v>0</v>
      </c>
      <c r="AC148" s="12">
        <v>0</v>
      </c>
      <c r="AD148" s="13"/>
      <c r="AE148" s="5"/>
      <c r="AF148" s="5"/>
      <c r="AG148" s="5">
        <v>1</v>
      </c>
      <c r="AH148" s="5">
        <v>1</v>
      </c>
      <c r="AI148" s="7">
        <v>46079.45416666667</v>
      </c>
      <c r="AJ148" s="5" t="s">
        <v>83</v>
      </c>
      <c r="AK148" s="5" t="s">
        <v>196</v>
      </c>
      <c r="AL148" s="7">
        <v>46077.830960648149</v>
      </c>
      <c r="AM148" s="7" t="s">
        <v>197</v>
      </c>
      <c r="AN148" s="7" t="s">
        <v>816</v>
      </c>
      <c r="AO148" s="7" t="s">
        <v>58</v>
      </c>
    </row>
    <row r="149" spans="1:41" x14ac:dyDescent="0.25">
      <c r="A149" s="5" t="s">
        <v>42</v>
      </c>
      <c r="B149" s="6" t="s">
        <v>43</v>
      </c>
      <c r="C149" s="5">
        <v>3</v>
      </c>
      <c r="D149" s="5" t="s">
        <v>451</v>
      </c>
      <c r="E149" s="7" t="s">
        <v>817</v>
      </c>
      <c r="F149" s="5">
        <v>21089</v>
      </c>
      <c r="G149" s="8">
        <v>46076</v>
      </c>
      <c r="H149" s="8">
        <v>46076</v>
      </c>
      <c r="I149" s="8">
        <v>46076</v>
      </c>
      <c r="J149" s="8">
        <v>46076</v>
      </c>
      <c r="K149" s="9" t="s">
        <v>187</v>
      </c>
      <c r="L149" s="7" t="s">
        <v>188</v>
      </c>
      <c r="M149" s="5" t="s">
        <v>189</v>
      </c>
      <c r="N149" s="5" t="s">
        <v>49</v>
      </c>
      <c r="O149" s="5" t="s">
        <v>818</v>
      </c>
      <c r="P149" s="7" t="s">
        <v>51</v>
      </c>
      <c r="Q149" s="7" t="s">
        <v>51</v>
      </c>
      <c r="R149" s="10" t="s">
        <v>819</v>
      </c>
      <c r="S149" s="7" t="s">
        <v>820</v>
      </c>
      <c r="T149" s="11">
        <v>8.5</v>
      </c>
      <c r="U149" s="12">
        <v>0</v>
      </c>
      <c r="V149" s="7" t="s">
        <v>821</v>
      </c>
      <c r="W149" s="12">
        <v>0</v>
      </c>
      <c r="X149" s="5" t="s">
        <v>822</v>
      </c>
      <c r="Y149" s="12">
        <v>162.33000000000001</v>
      </c>
      <c r="Z149" s="12">
        <v>83.17</v>
      </c>
      <c r="AA149" s="12">
        <v>79.16</v>
      </c>
      <c r="AB149" s="12">
        <v>0</v>
      </c>
      <c r="AC149" s="12">
        <v>0</v>
      </c>
      <c r="AD149" s="13">
        <v>11</v>
      </c>
      <c r="AE149" s="5"/>
      <c r="AF149" s="5"/>
      <c r="AG149" s="5">
        <v>1</v>
      </c>
      <c r="AH149" s="5">
        <v>1</v>
      </c>
      <c r="AI149" s="7">
        <v>46079.447916666664</v>
      </c>
      <c r="AJ149" s="5" t="s">
        <v>83</v>
      </c>
      <c r="AK149" s="5" t="s">
        <v>196</v>
      </c>
      <c r="AL149" s="7">
        <v>46076.954456018517</v>
      </c>
      <c r="AM149" s="7" t="s">
        <v>92</v>
      </c>
      <c r="AN149" s="7" t="s">
        <v>823</v>
      </c>
      <c r="AO149" s="7" t="s">
        <v>58</v>
      </c>
    </row>
    <row r="150" spans="1:41" x14ac:dyDescent="0.25">
      <c r="A150" s="5" t="s">
        <v>42</v>
      </c>
      <c r="B150" s="6" t="s">
        <v>43</v>
      </c>
      <c r="C150" s="5">
        <v>3</v>
      </c>
      <c r="D150" s="5" t="s">
        <v>451</v>
      </c>
      <c r="E150" s="7" t="s">
        <v>817</v>
      </c>
      <c r="F150" s="5">
        <v>21090</v>
      </c>
      <c r="G150" s="8">
        <v>46076</v>
      </c>
      <c r="H150" s="8">
        <v>46076</v>
      </c>
      <c r="I150" s="8">
        <v>46076</v>
      </c>
      <c r="J150" s="8">
        <v>46076</v>
      </c>
      <c r="K150" s="9" t="s">
        <v>187</v>
      </c>
      <c r="L150" s="7" t="s">
        <v>188</v>
      </c>
      <c r="M150" s="5" t="s">
        <v>189</v>
      </c>
      <c r="N150" s="5" t="s">
        <v>49</v>
      </c>
      <c r="O150" s="5" t="s">
        <v>824</v>
      </c>
      <c r="P150" s="7" t="s">
        <v>51</v>
      </c>
      <c r="Q150" s="7" t="s">
        <v>51</v>
      </c>
      <c r="R150" s="10" t="s">
        <v>825</v>
      </c>
      <c r="S150" s="7" t="s">
        <v>826</v>
      </c>
      <c r="T150" s="11">
        <v>7.2</v>
      </c>
      <c r="U150" s="12">
        <v>0</v>
      </c>
      <c r="V150" s="7" t="s">
        <v>827</v>
      </c>
      <c r="W150" s="12">
        <v>0</v>
      </c>
      <c r="X150" s="5" t="s">
        <v>828</v>
      </c>
      <c r="Y150" s="12">
        <v>127.11</v>
      </c>
      <c r="Z150" s="12">
        <v>65.09</v>
      </c>
      <c r="AA150" s="12">
        <v>62.02</v>
      </c>
      <c r="AB150" s="12">
        <v>0</v>
      </c>
      <c r="AC150" s="12">
        <v>0</v>
      </c>
      <c r="AD150" s="13"/>
      <c r="AE150" s="5"/>
      <c r="AF150" s="5"/>
      <c r="AG150" s="5">
        <v>1</v>
      </c>
      <c r="AH150" s="5">
        <v>1</v>
      </c>
      <c r="AI150" s="7">
        <v>46079.448611111111</v>
      </c>
      <c r="AJ150" s="5" t="s">
        <v>83</v>
      </c>
      <c r="AK150" s="5" t="s">
        <v>196</v>
      </c>
      <c r="AL150" s="7">
        <v>46077.833287037036</v>
      </c>
      <c r="AM150" s="7" t="s">
        <v>197</v>
      </c>
      <c r="AN150" s="7" t="s">
        <v>208</v>
      </c>
      <c r="AO150" s="7" t="s">
        <v>58</v>
      </c>
    </row>
    <row r="151" spans="1:41" x14ac:dyDescent="0.25">
      <c r="A151" s="5" t="s">
        <v>42</v>
      </c>
      <c r="B151" s="6" t="s">
        <v>43</v>
      </c>
      <c r="C151" s="5">
        <v>3</v>
      </c>
      <c r="D151" s="5" t="s">
        <v>451</v>
      </c>
      <c r="E151" s="7" t="s">
        <v>93</v>
      </c>
      <c r="F151" s="5">
        <v>20488</v>
      </c>
      <c r="G151" s="8">
        <v>46077</v>
      </c>
      <c r="H151" s="8">
        <v>46077</v>
      </c>
      <c r="I151" s="8">
        <v>46077</v>
      </c>
      <c r="J151" s="8">
        <v>46077</v>
      </c>
      <c r="K151" s="9" t="s">
        <v>187</v>
      </c>
      <c r="L151" s="7" t="s">
        <v>188</v>
      </c>
      <c r="M151" s="5" t="s">
        <v>189</v>
      </c>
      <c r="N151" s="5" t="s">
        <v>49</v>
      </c>
      <c r="O151" s="5" t="s">
        <v>546</v>
      </c>
      <c r="P151" s="7" t="s">
        <v>51</v>
      </c>
      <c r="Q151" s="7" t="s">
        <v>51</v>
      </c>
      <c r="R151" s="10" t="s">
        <v>829</v>
      </c>
      <c r="S151" s="7" t="s">
        <v>830</v>
      </c>
      <c r="T151" s="11">
        <v>20.6</v>
      </c>
      <c r="U151" s="12">
        <v>0</v>
      </c>
      <c r="V151" s="7" t="s">
        <v>831</v>
      </c>
      <c r="W151" s="12">
        <v>0</v>
      </c>
      <c r="X151" s="5" t="s">
        <v>832</v>
      </c>
      <c r="Y151" s="12">
        <v>363.66</v>
      </c>
      <c r="Z151" s="12">
        <v>186.22</v>
      </c>
      <c r="AA151" s="12">
        <v>177.44</v>
      </c>
      <c r="AB151" s="12">
        <v>0</v>
      </c>
      <c r="AC151" s="12">
        <v>0</v>
      </c>
      <c r="AD151" s="13">
        <v>11</v>
      </c>
      <c r="AE151" s="5"/>
      <c r="AF151" s="5"/>
      <c r="AG151" s="5">
        <v>0</v>
      </c>
      <c r="AH151" s="5">
        <v>0</v>
      </c>
      <c r="AI151" s="7"/>
      <c r="AJ151" s="5"/>
      <c r="AK151" s="5"/>
      <c r="AL151" s="7">
        <v>46077.326516203706</v>
      </c>
      <c r="AM151" s="7" t="s">
        <v>85</v>
      </c>
      <c r="AN151" s="7" t="s">
        <v>833</v>
      </c>
      <c r="AO151" s="7" t="s">
        <v>58</v>
      </c>
    </row>
    <row r="152" spans="1:41" x14ac:dyDescent="0.25">
      <c r="A152" s="5" t="s">
        <v>42</v>
      </c>
      <c r="B152" s="6" t="s">
        <v>43</v>
      </c>
      <c r="C152" s="5">
        <v>3</v>
      </c>
      <c r="D152" s="5" t="s">
        <v>451</v>
      </c>
      <c r="E152" s="7" t="s">
        <v>93</v>
      </c>
      <c r="F152" s="5">
        <v>20490</v>
      </c>
      <c r="G152" s="8">
        <v>46077</v>
      </c>
      <c r="H152" s="8">
        <v>46077</v>
      </c>
      <c r="I152" s="8">
        <v>46077</v>
      </c>
      <c r="J152" s="8">
        <v>46077</v>
      </c>
      <c r="K152" s="9" t="s">
        <v>187</v>
      </c>
      <c r="L152" s="7" t="s">
        <v>188</v>
      </c>
      <c r="M152" s="5" t="s">
        <v>189</v>
      </c>
      <c r="N152" s="5" t="s">
        <v>49</v>
      </c>
      <c r="O152" s="5" t="s">
        <v>552</v>
      </c>
      <c r="P152" s="7" t="s">
        <v>51</v>
      </c>
      <c r="Q152" s="7" t="s">
        <v>51</v>
      </c>
      <c r="R152" s="10" t="s">
        <v>834</v>
      </c>
      <c r="S152" s="7" t="s">
        <v>835</v>
      </c>
      <c r="T152" s="11">
        <v>21.5</v>
      </c>
      <c r="U152" s="12">
        <v>0</v>
      </c>
      <c r="V152" s="7" t="s">
        <v>834</v>
      </c>
      <c r="W152" s="12">
        <v>0</v>
      </c>
      <c r="X152" s="5" t="s">
        <v>836</v>
      </c>
      <c r="Y152" s="12">
        <v>402.5</v>
      </c>
      <c r="Z152" s="12">
        <v>206.11</v>
      </c>
      <c r="AA152" s="12">
        <v>196.39</v>
      </c>
      <c r="AB152" s="12">
        <v>0</v>
      </c>
      <c r="AC152" s="12">
        <v>0</v>
      </c>
      <c r="AD152" s="13"/>
      <c r="AE152" s="5"/>
      <c r="AF152" s="5"/>
      <c r="AG152" s="5">
        <v>0</v>
      </c>
      <c r="AH152" s="5">
        <v>0</v>
      </c>
      <c r="AI152" s="7"/>
      <c r="AJ152" s="5"/>
      <c r="AK152" s="5"/>
      <c r="AL152" s="7">
        <v>46078.819664351853</v>
      </c>
      <c r="AM152" s="7" t="s">
        <v>197</v>
      </c>
      <c r="AN152" s="7" t="s">
        <v>833</v>
      </c>
      <c r="AO152" s="7" t="s">
        <v>58</v>
      </c>
    </row>
    <row r="153" spans="1:41" x14ac:dyDescent="0.25">
      <c r="A153" s="5" t="s">
        <v>42</v>
      </c>
      <c r="B153" s="6" t="s">
        <v>43</v>
      </c>
      <c r="C153" s="5">
        <v>3</v>
      </c>
      <c r="D153" s="5" t="s">
        <v>451</v>
      </c>
      <c r="E153" s="7" t="s">
        <v>817</v>
      </c>
      <c r="F153" s="5">
        <v>21198</v>
      </c>
      <c r="G153" s="8">
        <v>46077</v>
      </c>
      <c r="H153" s="8">
        <v>46077</v>
      </c>
      <c r="I153" s="8">
        <v>46077</v>
      </c>
      <c r="J153" s="8">
        <v>46077</v>
      </c>
      <c r="K153" s="9" t="s">
        <v>187</v>
      </c>
      <c r="L153" s="7" t="s">
        <v>188</v>
      </c>
      <c r="M153" s="5" t="s">
        <v>189</v>
      </c>
      <c r="N153" s="5" t="s">
        <v>49</v>
      </c>
      <c r="O153" s="5" t="s">
        <v>797</v>
      </c>
      <c r="P153" s="7" t="s">
        <v>51</v>
      </c>
      <c r="Q153" s="7" t="s">
        <v>51</v>
      </c>
      <c r="R153" s="10" t="s">
        <v>837</v>
      </c>
      <c r="S153" s="7" t="s">
        <v>838</v>
      </c>
      <c r="T153" s="11">
        <v>17.3</v>
      </c>
      <c r="U153" s="12">
        <v>0</v>
      </c>
      <c r="V153" s="7" t="s">
        <v>839</v>
      </c>
      <c r="W153" s="12">
        <v>0</v>
      </c>
      <c r="X153" s="5" t="s">
        <v>840</v>
      </c>
      <c r="Y153" s="12">
        <v>480.4</v>
      </c>
      <c r="Z153" s="12">
        <v>156.38999999999999</v>
      </c>
      <c r="AA153" s="12">
        <v>149.01</v>
      </c>
      <c r="AB153" s="12">
        <v>175</v>
      </c>
      <c r="AC153" s="12">
        <v>0</v>
      </c>
      <c r="AD153" s="13">
        <v>8</v>
      </c>
      <c r="AE153" s="5"/>
      <c r="AF153" s="5"/>
      <c r="AG153" s="5">
        <v>0</v>
      </c>
      <c r="AH153" s="5">
        <v>0</v>
      </c>
      <c r="AI153" s="7"/>
      <c r="AJ153" s="5"/>
      <c r="AK153" s="5"/>
      <c r="AL153" s="7">
        <v>46077.467592592591</v>
      </c>
      <c r="AM153" s="7" t="s">
        <v>140</v>
      </c>
      <c r="AN153" s="7" t="s">
        <v>841</v>
      </c>
      <c r="AO153" s="7" t="s">
        <v>58</v>
      </c>
    </row>
    <row r="154" spans="1:41" x14ac:dyDescent="0.25">
      <c r="A154" s="5" t="s">
        <v>42</v>
      </c>
      <c r="B154" s="6" t="s">
        <v>43</v>
      </c>
      <c r="C154" s="5">
        <v>3</v>
      </c>
      <c r="D154" s="5" t="s">
        <v>451</v>
      </c>
      <c r="E154" s="7" t="s">
        <v>817</v>
      </c>
      <c r="F154" s="5">
        <v>21199</v>
      </c>
      <c r="G154" s="8">
        <v>46077</v>
      </c>
      <c r="H154" s="8">
        <v>46077</v>
      </c>
      <c r="I154" s="8">
        <v>46077</v>
      </c>
      <c r="J154" s="8">
        <v>46077</v>
      </c>
      <c r="K154" s="9" t="s">
        <v>187</v>
      </c>
      <c r="L154" s="7" t="s">
        <v>188</v>
      </c>
      <c r="M154" s="5" t="s">
        <v>189</v>
      </c>
      <c r="N154" s="5" t="s">
        <v>49</v>
      </c>
      <c r="O154" s="5" t="s">
        <v>802</v>
      </c>
      <c r="P154" s="7" t="s">
        <v>51</v>
      </c>
      <c r="Q154" s="7" t="s">
        <v>51</v>
      </c>
      <c r="R154" s="10" t="s">
        <v>842</v>
      </c>
      <c r="S154" s="7" t="s">
        <v>843</v>
      </c>
      <c r="T154" s="11">
        <v>15.7</v>
      </c>
      <c r="U154" s="12">
        <v>0</v>
      </c>
      <c r="V154" s="7" t="s">
        <v>842</v>
      </c>
      <c r="W154" s="12">
        <v>0</v>
      </c>
      <c r="X154" s="5" t="s">
        <v>844</v>
      </c>
      <c r="Y154" s="12">
        <v>480.5</v>
      </c>
      <c r="Z154" s="12">
        <v>141.93</v>
      </c>
      <c r="AA154" s="12">
        <v>135.12</v>
      </c>
      <c r="AB154" s="12">
        <v>203.45</v>
      </c>
      <c r="AC154" s="12">
        <v>0</v>
      </c>
      <c r="AD154" s="13">
        <v>5</v>
      </c>
      <c r="AE154" s="5"/>
      <c r="AF154" s="5"/>
      <c r="AG154" s="5">
        <v>0</v>
      </c>
      <c r="AH154" s="5">
        <v>0</v>
      </c>
      <c r="AI154" s="7"/>
      <c r="AJ154" s="5"/>
      <c r="AK154" s="5"/>
      <c r="AL154" s="7">
        <v>46078.826550925929</v>
      </c>
      <c r="AM154" s="7" t="s">
        <v>197</v>
      </c>
      <c r="AN154" s="7" t="s">
        <v>289</v>
      </c>
      <c r="AO154" s="7" t="s">
        <v>58</v>
      </c>
    </row>
    <row r="155" spans="1:41" x14ac:dyDescent="0.25">
      <c r="A155" s="5" t="s">
        <v>42</v>
      </c>
      <c r="B155" s="6" t="s">
        <v>43</v>
      </c>
      <c r="C155" s="5">
        <v>3</v>
      </c>
      <c r="D155" s="5" t="s">
        <v>451</v>
      </c>
      <c r="E155" s="7" t="s">
        <v>186</v>
      </c>
      <c r="F155" s="5">
        <v>21242</v>
      </c>
      <c r="G155" s="8">
        <v>46077</v>
      </c>
      <c r="H155" s="8">
        <v>46077</v>
      </c>
      <c r="I155" s="8">
        <v>46077</v>
      </c>
      <c r="J155" s="8">
        <v>46077</v>
      </c>
      <c r="K155" s="9" t="s">
        <v>558</v>
      </c>
      <c r="L155" s="7" t="s">
        <v>559</v>
      </c>
      <c r="M155" s="5" t="s">
        <v>560</v>
      </c>
      <c r="N155" s="5" t="s">
        <v>49</v>
      </c>
      <c r="O155" s="5" t="s">
        <v>111</v>
      </c>
      <c r="P155" s="7" t="s">
        <v>51</v>
      </c>
      <c r="Q155" s="7" t="s">
        <v>51</v>
      </c>
      <c r="R155" s="10" t="s">
        <v>845</v>
      </c>
      <c r="S155" s="7" t="s">
        <v>846</v>
      </c>
      <c r="T155" s="11">
        <v>25.3</v>
      </c>
      <c r="U155" s="12">
        <v>0</v>
      </c>
      <c r="V155" s="7" t="s">
        <v>847</v>
      </c>
      <c r="W155" s="12">
        <v>0</v>
      </c>
      <c r="X155" s="5" t="s">
        <v>848</v>
      </c>
      <c r="Y155" s="12">
        <v>448.32</v>
      </c>
      <c r="Z155" s="12">
        <v>229.62</v>
      </c>
      <c r="AA155" s="12">
        <v>218.7</v>
      </c>
      <c r="AB155" s="12">
        <v>0</v>
      </c>
      <c r="AC155" s="12">
        <v>0</v>
      </c>
      <c r="AD155" s="13"/>
      <c r="AE155" s="5"/>
      <c r="AF155" s="5"/>
      <c r="AG155" s="5">
        <v>0</v>
      </c>
      <c r="AH155" s="5">
        <v>0</v>
      </c>
      <c r="AI155" s="7"/>
      <c r="AJ155" s="5"/>
      <c r="AK155" s="5"/>
      <c r="AL155" s="7">
        <v>46078.432534722226</v>
      </c>
      <c r="AM155" s="7" t="s">
        <v>85</v>
      </c>
      <c r="AN155" s="7" t="s">
        <v>849</v>
      </c>
      <c r="AO155" s="7" t="s">
        <v>58</v>
      </c>
    </row>
    <row r="156" spans="1:41" x14ac:dyDescent="0.25">
      <c r="A156" s="5" t="s">
        <v>42</v>
      </c>
      <c r="B156" s="6" t="s">
        <v>43</v>
      </c>
      <c r="C156" s="5">
        <v>2</v>
      </c>
      <c r="D156" s="5" t="s">
        <v>451</v>
      </c>
      <c r="E156" s="7" t="s">
        <v>186</v>
      </c>
      <c r="F156" s="5">
        <v>21243</v>
      </c>
      <c r="G156" s="8">
        <v>46077</v>
      </c>
      <c r="H156" s="8"/>
      <c r="I156" s="8">
        <v>46077</v>
      </c>
      <c r="J156" s="8"/>
      <c r="K156" s="9" t="s">
        <v>558</v>
      </c>
      <c r="L156" s="7" t="s">
        <v>559</v>
      </c>
      <c r="M156" s="5" t="s">
        <v>560</v>
      </c>
      <c r="N156" s="5" t="s">
        <v>49</v>
      </c>
      <c r="O156" s="5" t="s">
        <v>117</v>
      </c>
      <c r="P156" s="7" t="s">
        <v>51</v>
      </c>
      <c r="Q156" s="7" t="s">
        <v>51</v>
      </c>
      <c r="R156" s="10" t="s">
        <v>850</v>
      </c>
      <c r="S156" s="7" t="s">
        <v>851</v>
      </c>
      <c r="T156" s="11">
        <v>37</v>
      </c>
      <c r="U156" s="12">
        <v>0</v>
      </c>
      <c r="V156" s="7" t="s">
        <v>850</v>
      </c>
      <c r="W156" s="12">
        <v>0</v>
      </c>
      <c r="X156" s="5" t="s">
        <v>852</v>
      </c>
      <c r="Y156" s="12">
        <v>959.16</v>
      </c>
      <c r="Z156" s="12">
        <v>334.48</v>
      </c>
      <c r="AA156" s="12">
        <v>318.64999999999998</v>
      </c>
      <c r="AB156" s="12">
        <v>306.02999999999997</v>
      </c>
      <c r="AC156" s="12">
        <v>0</v>
      </c>
      <c r="AD156" s="13"/>
      <c r="AE156" s="5"/>
      <c r="AF156" s="5"/>
      <c r="AG156" s="5">
        <v>0</v>
      </c>
      <c r="AH156" s="5">
        <v>0</v>
      </c>
      <c r="AI156" s="7"/>
      <c r="AJ156" s="5"/>
      <c r="AK156" s="5"/>
      <c r="AL156" s="7">
        <v>46078.931539351855</v>
      </c>
      <c r="AM156" s="7" t="s">
        <v>92</v>
      </c>
      <c r="AN156" s="7" t="s">
        <v>853</v>
      </c>
      <c r="AO156" s="7" t="s">
        <v>58</v>
      </c>
    </row>
    <row r="157" spans="1:41" x14ac:dyDescent="0.25">
      <c r="A157" s="5" t="s">
        <v>42</v>
      </c>
      <c r="B157" s="6" t="s">
        <v>43</v>
      </c>
      <c r="C157" s="5">
        <v>3</v>
      </c>
      <c r="D157" s="5" t="s">
        <v>451</v>
      </c>
      <c r="E157" s="7" t="s">
        <v>186</v>
      </c>
      <c r="F157" s="5">
        <v>21268</v>
      </c>
      <c r="G157" s="8">
        <v>46077</v>
      </c>
      <c r="H157" s="8">
        <v>46077</v>
      </c>
      <c r="I157" s="8">
        <v>46077</v>
      </c>
      <c r="J157" s="8">
        <v>46077</v>
      </c>
      <c r="K157" s="9" t="s">
        <v>558</v>
      </c>
      <c r="L157" s="7" t="s">
        <v>559</v>
      </c>
      <c r="M157" s="5" t="s">
        <v>560</v>
      </c>
      <c r="N157" s="5" t="s">
        <v>49</v>
      </c>
      <c r="O157" s="5" t="s">
        <v>111</v>
      </c>
      <c r="P157" s="7" t="s">
        <v>51</v>
      </c>
      <c r="Q157" s="7" t="s">
        <v>51</v>
      </c>
      <c r="R157" s="10" t="s">
        <v>854</v>
      </c>
      <c r="S157" s="7" t="s">
        <v>855</v>
      </c>
      <c r="T157" s="11">
        <v>25.3</v>
      </c>
      <c r="U157" s="12">
        <v>0</v>
      </c>
      <c r="V157" s="7" t="s">
        <v>856</v>
      </c>
      <c r="W157" s="12">
        <v>0</v>
      </c>
      <c r="X157" s="5" t="s">
        <v>857</v>
      </c>
      <c r="Y157" s="12">
        <v>448.32</v>
      </c>
      <c r="Z157" s="12">
        <v>229.62</v>
      </c>
      <c r="AA157" s="12">
        <v>218.7</v>
      </c>
      <c r="AB157" s="12">
        <v>0</v>
      </c>
      <c r="AC157" s="12">
        <v>0</v>
      </c>
      <c r="AD157" s="13"/>
      <c r="AE157" s="5"/>
      <c r="AF157" s="5"/>
      <c r="AG157" s="5">
        <v>0</v>
      </c>
      <c r="AH157" s="5">
        <v>0</v>
      </c>
      <c r="AI157" s="7"/>
      <c r="AJ157" s="5"/>
      <c r="AK157" s="5"/>
      <c r="AL157" s="7">
        <v>46078.432673611111</v>
      </c>
      <c r="AM157" s="7" t="s">
        <v>85</v>
      </c>
      <c r="AN157" s="7" t="s">
        <v>858</v>
      </c>
      <c r="AO157" s="7" t="s">
        <v>58</v>
      </c>
    </row>
    <row r="158" spans="1:41" x14ac:dyDescent="0.25">
      <c r="A158" s="5" t="s">
        <v>42</v>
      </c>
      <c r="B158" s="6" t="s">
        <v>43</v>
      </c>
      <c r="C158" s="5">
        <v>2</v>
      </c>
      <c r="D158" s="5" t="s">
        <v>451</v>
      </c>
      <c r="E158" s="7" t="s">
        <v>186</v>
      </c>
      <c r="F158" s="5">
        <v>21269</v>
      </c>
      <c r="G158" s="8">
        <v>46077</v>
      </c>
      <c r="H158" s="8"/>
      <c r="I158" s="8">
        <v>46077</v>
      </c>
      <c r="J158" s="8"/>
      <c r="K158" s="9" t="s">
        <v>558</v>
      </c>
      <c r="L158" s="7" t="s">
        <v>559</v>
      </c>
      <c r="M158" s="5" t="s">
        <v>560</v>
      </c>
      <c r="N158" s="5" t="s">
        <v>49</v>
      </c>
      <c r="O158" s="5" t="s">
        <v>117</v>
      </c>
      <c r="P158" s="7" t="s">
        <v>51</v>
      </c>
      <c r="Q158" s="7" t="s">
        <v>51</v>
      </c>
      <c r="R158" s="10" t="s">
        <v>859</v>
      </c>
      <c r="S158" s="7" t="s">
        <v>860</v>
      </c>
      <c r="T158" s="11">
        <v>37</v>
      </c>
      <c r="U158" s="12">
        <v>0</v>
      </c>
      <c r="V158" s="7" t="s">
        <v>859</v>
      </c>
      <c r="W158" s="12">
        <v>0</v>
      </c>
      <c r="X158" s="5" t="s">
        <v>861</v>
      </c>
      <c r="Y158" s="12">
        <v>959.16</v>
      </c>
      <c r="Z158" s="12">
        <v>334.48</v>
      </c>
      <c r="AA158" s="12">
        <v>318.64999999999998</v>
      </c>
      <c r="AB158" s="12">
        <v>306.02999999999997</v>
      </c>
      <c r="AC158" s="12">
        <v>0</v>
      </c>
      <c r="AD158" s="13"/>
      <c r="AE158" s="5"/>
      <c r="AF158" s="5"/>
      <c r="AG158" s="5">
        <v>0</v>
      </c>
      <c r="AH158" s="5">
        <v>0</v>
      </c>
      <c r="AI158" s="7"/>
      <c r="AJ158" s="5"/>
      <c r="AK158" s="5"/>
      <c r="AL158" s="7">
        <v>46078.931631944448</v>
      </c>
      <c r="AM158" s="7" t="s">
        <v>92</v>
      </c>
      <c r="AN158" s="7" t="s">
        <v>862</v>
      </c>
      <c r="AO158" s="7" t="s">
        <v>58</v>
      </c>
    </row>
    <row r="159" spans="1:41" x14ac:dyDescent="0.25">
      <c r="A159" s="5" t="s">
        <v>42</v>
      </c>
      <c r="B159" s="6" t="s">
        <v>43</v>
      </c>
      <c r="C159" s="5">
        <v>3</v>
      </c>
      <c r="D159" s="5" t="s">
        <v>451</v>
      </c>
      <c r="E159" s="7" t="s">
        <v>186</v>
      </c>
      <c r="F159" s="5">
        <v>21294</v>
      </c>
      <c r="G159" s="8">
        <v>46077</v>
      </c>
      <c r="H159" s="8">
        <v>46077</v>
      </c>
      <c r="I159" s="8">
        <v>46077</v>
      </c>
      <c r="J159" s="8">
        <v>46077</v>
      </c>
      <c r="K159" s="9" t="s">
        <v>187</v>
      </c>
      <c r="L159" s="7" t="s">
        <v>188</v>
      </c>
      <c r="M159" s="5" t="s">
        <v>189</v>
      </c>
      <c r="N159" s="5" t="s">
        <v>49</v>
      </c>
      <c r="O159" s="5" t="s">
        <v>382</v>
      </c>
      <c r="P159" s="7" t="s">
        <v>51</v>
      </c>
      <c r="Q159" s="7" t="s">
        <v>51</v>
      </c>
      <c r="R159" s="10" t="s">
        <v>863</v>
      </c>
      <c r="S159" s="7" t="s">
        <v>864</v>
      </c>
      <c r="T159" s="11">
        <v>14.2</v>
      </c>
      <c r="U159" s="12">
        <v>0</v>
      </c>
      <c r="V159" s="7" t="s">
        <v>865</v>
      </c>
      <c r="W159" s="12">
        <v>0</v>
      </c>
      <c r="X159" s="5" t="s">
        <v>866</v>
      </c>
      <c r="Y159" s="12">
        <v>425.6</v>
      </c>
      <c r="Z159" s="12">
        <v>128.37</v>
      </c>
      <c r="AA159" s="12">
        <v>122.23</v>
      </c>
      <c r="AB159" s="12">
        <v>175</v>
      </c>
      <c r="AC159" s="12">
        <v>0</v>
      </c>
      <c r="AD159" s="13">
        <v>19</v>
      </c>
      <c r="AE159" s="5"/>
      <c r="AF159" s="5"/>
      <c r="AG159" s="5">
        <v>0</v>
      </c>
      <c r="AH159" s="5">
        <v>0</v>
      </c>
      <c r="AI159" s="7"/>
      <c r="AJ159" s="5"/>
      <c r="AK159" s="5"/>
      <c r="AL159" s="7">
        <v>46078.434930555559</v>
      </c>
      <c r="AM159" s="7" t="s">
        <v>85</v>
      </c>
      <c r="AN159" s="7" t="s">
        <v>867</v>
      </c>
      <c r="AO159" s="7" t="s">
        <v>58</v>
      </c>
    </row>
    <row r="160" spans="1:41" x14ac:dyDescent="0.25">
      <c r="A160" s="5" t="s">
        <v>42</v>
      </c>
      <c r="B160" s="6" t="s">
        <v>43</v>
      </c>
      <c r="C160" s="5">
        <v>3</v>
      </c>
      <c r="D160" s="5" t="s">
        <v>451</v>
      </c>
      <c r="E160" s="7" t="s">
        <v>186</v>
      </c>
      <c r="F160" s="5">
        <v>21295</v>
      </c>
      <c r="G160" s="8">
        <v>46077</v>
      </c>
      <c r="H160" s="8">
        <v>46077</v>
      </c>
      <c r="I160" s="8">
        <v>46077</v>
      </c>
      <c r="J160" s="8">
        <v>46077</v>
      </c>
      <c r="K160" s="9" t="s">
        <v>187</v>
      </c>
      <c r="L160" s="7" t="s">
        <v>188</v>
      </c>
      <c r="M160" s="5" t="s">
        <v>189</v>
      </c>
      <c r="N160" s="5" t="s">
        <v>49</v>
      </c>
      <c r="O160" s="5" t="s">
        <v>388</v>
      </c>
      <c r="P160" s="7" t="s">
        <v>51</v>
      </c>
      <c r="Q160" s="7" t="s">
        <v>51</v>
      </c>
      <c r="R160" s="10" t="s">
        <v>868</v>
      </c>
      <c r="S160" s="7" t="s">
        <v>869</v>
      </c>
      <c r="T160" s="11">
        <v>12.9</v>
      </c>
      <c r="U160" s="12">
        <v>0</v>
      </c>
      <c r="V160" s="7" t="s">
        <v>868</v>
      </c>
      <c r="W160" s="12">
        <v>0</v>
      </c>
      <c r="X160" s="5" t="s">
        <v>870</v>
      </c>
      <c r="Y160" s="12">
        <v>431.17</v>
      </c>
      <c r="Z160" s="12">
        <v>116.62</v>
      </c>
      <c r="AA160" s="12">
        <v>111.1</v>
      </c>
      <c r="AB160" s="12">
        <v>203.45</v>
      </c>
      <c r="AC160" s="12">
        <v>0</v>
      </c>
      <c r="AD160" s="13">
        <v>4</v>
      </c>
      <c r="AE160" s="5"/>
      <c r="AF160" s="5"/>
      <c r="AG160" s="5">
        <v>0</v>
      </c>
      <c r="AH160" s="5">
        <v>0</v>
      </c>
      <c r="AI160" s="7"/>
      <c r="AJ160" s="5"/>
      <c r="AK160" s="5"/>
      <c r="AL160" s="7">
        <v>46078.932939814818</v>
      </c>
      <c r="AM160" s="7" t="s">
        <v>92</v>
      </c>
      <c r="AN160" s="7" t="s">
        <v>871</v>
      </c>
      <c r="AO160" s="7" t="s">
        <v>58</v>
      </c>
    </row>
    <row r="161" spans="1:41" x14ac:dyDescent="0.25">
      <c r="A161" s="5" t="s">
        <v>42</v>
      </c>
      <c r="B161" s="6" t="s">
        <v>43</v>
      </c>
      <c r="C161" s="5">
        <v>3</v>
      </c>
      <c r="D161" s="5" t="s">
        <v>451</v>
      </c>
      <c r="E161" s="7" t="s">
        <v>186</v>
      </c>
      <c r="F161" s="5">
        <v>21298</v>
      </c>
      <c r="G161" s="8">
        <v>46077</v>
      </c>
      <c r="H161" s="8">
        <v>46077</v>
      </c>
      <c r="I161" s="8">
        <v>46077</v>
      </c>
      <c r="J161" s="8">
        <v>46077</v>
      </c>
      <c r="K161" s="9" t="s">
        <v>187</v>
      </c>
      <c r="L161" s="7" t="s">
        <v>188</v>
      </c>
      <c r="M161" s="5" t="s">
        <v>189</v>
      </c>
      <c r="N161" s="5" t="s">
        <v>49</v>
      </c>
      <c r="O161" s="5" t="s">
        <v>561</v>
      </c>
      <c r="P161" s="7" t="s">
        <v>51</v>
      </c>
      <c r="Q161" s="7" t="s">
        <v>51</v>
      </c>
      <c r="R161" s="10" t="s">
        <v>872</v>
      </c>
      <c r="S161" s="7" t="s">
        <v>873</v>
      </c>
      <c r="T161" s="11">
        <v>25.2</v>
      </c>
      <c r="U161" s="12">
        <v>0</v>
      </c>
      <c r="V161" s="7" t="s">
        <v>874</v>
      </c>
      <c r="W161" s="12">
        <v>0</v>
      </c>
      <c r="X161" s="5" t="s">
        <v>875</v>
      </c>
      <c r="Y161" s="12">
        <v>444.78</v>
      </c>
      <c r="Z161" s="12">
        <v>227.81</v>
      </c>
      <c r="AA161" s="12">
        <v>216.97</v>
      </c>
      <c r="AB161" s="12">
        <v>0</v>
      </c>
      <c r="AC161" s="12">
        <v>0</v>
      </c>
      <c r="AD161" s="13">
        <v>8</v>
      </c>
      <c r="AE161" s="5"/>
      <c r="AF161" s="5"/>
      <c r="AG161" s="5">
        <v>0</v>
      </c>
      <c r="AH161" s="5">
        <v>0</v>
      </c>
      <c r="AI161" s="7"/>
      <c r="AJ161" s="5"/>
      <c r="AK161" s="5"/>
      <c r="AL161" s="7">
        <v>46078.433900462966</v>
      </c>
      <c r="AM161" s="7" t="s">
        <v>85</v>
      </c>
      <c r="AN161" s="7" t="s">
        <v>876</v>
      </c>
      <c r="AO161" s="7" t="s">
        <v>58</v>
      </c>
    </row>
    <row r="162" spans="1:41" x14ac:dyDescent="0.25">
      <c r="A162" s="5" t="s">
        <v>42</v>
      </c>
      <c r="B162" s="6" t="s">
        <v>43</v>
      </c>
      <c r="C162" s="5">
        <v>3</v>
      </c>
      <c r="D162" s="5" t="s">
        <v>451</v>
      </c>
      <c r="E162" s="7" t="s">
        <v>186</v>
      </c>
      <c r="F162" s="5">
        <v>21299</v>
      </c>
      <c r="G162" s="8">
        <v>46077</v>
      </c>
      <c r="H162" s="8">
        <v>46077</v>
      </c>
      <c r="I162" s="8">
        <v>46077</v>
      </c>
      <c r="J162" s="8">
        <v>46077</v>
      </c>
      <c r="K162" s="9" t="s">
        <v>187</v>
      </c>
      <c r="L162" s="7" t="s">
        <v>188</v>
      </c>
      <c r="M162" s="5" t="s">
        <v>189</v>
      </c>
      <c r="N162" s="5" t="s">
        <v>49</v>
      </c>
      <c r="O162" s="5" t="s">
        <v>567</v>
      </c>
      <c r="P162" s="7" t="s">
        <v>51</v>
      </c>
      <c r="Q162" s="7" t="s">
        <v>51</v>
      </c>
      <c r="R162" s="10" t="s">
        <v>877</v>
      </c>
      <c r="S162" s="7" t="s">
        <v>878</v>
      </c>
      <c r="T162" s="11">
        <v>37</v>
      </c>
      <c r="U162" s="12">
        <v>0</v>
      </c>
      <c r="V162" s="7" t="s">
        <v>877</v>
      </c>
      <c r="W162" s="12">
        <v>0</v>
      </c>
      <c r="X162" s="5" t="s">
        <v>879</v>
      </c>
      <c r="Y162" s="12">
        <v>959.16</v>
      </c>
      <c r="Z162" s="12">
        <v>334.48</v>
      </c>
      <c r="AA162" s="12">
        <v>318.64999999999998</v>
      </c>
      <c r="AB162" s="12">
        <v>306.02999999999997</v>
      </c>
      <c r="AC162" s="12">
        <v>0</v>
      </c>
      <c r="AD162" s="13">
        <v>11</v>
      </c>
      <c r="AE162" s="5"/>
      <c r="AF162" s="5"/>
      <c r="AG162" s="5">
        <v>0</v>
      </c>
      <c r="AH162" s="5">
        <v>0</v>
      </c>
      <c r="AI162" s="7"/>
      <c r="AJ162" s="5"/>
      <c r="AK162" s="5"/>
      <c r="AL162" s="7">
        <v>46078.932245370372</v>
      </c>
      <c r="AM162" s="7" t="s">
        <v>92</v>
      </c>
      <c r="AN162" s="7" t="s">
        <v>880</v>
      </c>
      <c r="AO162" s="7" t="s">
        <v>58</v>
      </c>
    </row>
    <row r="163" spans="1:41" x14ac:dyDescent="0.25">
      <c r="A163" s="5" t="s">
        <v>42</v>
      </c>
      <c r="B163" s="6" t="s">
        <v>43</v>
      </c>
      <c r="C163" s="5">
        <v>2</v>
      </c>
      <c r="D163" s="5" t="s">
        <v>451</v>
      </c>
      <c r="E163" s="7" t="s">
        <v>45</v>
      </c>
      <c r="F163" s="5">
        <v>21536</v>
      </c>
      <c r="G163" s="8">
        <v>46077</v>
      </c>
      <c r="H163" s="8"/>
      <c r="I163" s="8">
        <v>46077</v>
      </c>
      <c r="J163" s="8"/>
      <c r="K163" s="9" t="s">
        <v>46</v>
      </c>
      <c r="L163" s="7" t="s">
        <v>47</v>
      </c>
      <c r="M163" s="5" t="s">
        <v>48</v>
      </c>
      <c r="N163" s="5" t="s">
        <v>49</v>
      </c>
      <c r="O163" s="5" t="s">
        <v>50</v>
      </c>
      <c r="P163" s="7" t="s">
        <v>51</v>
      </c>
      <c r="Q163" s="7" t="s">
        <v>51</v>
      </c>
      <c r="R163" s="10" t="s">
        <v>881</v>
      </c>
      <c r="S163" s="7" t="s">
        <v>882</v>
      </c>
      <c r="T163" s="11">
        <v>11.4</v>
      </c>
      <c r="U163" s="12">
        <v>0</v>
      </c>
      <c r="V163" s="7" t="s">
        <v>54</v>
      </c>
      <c r="W163" s="12">
        <v>0</v>
      </c>
      <c r="X163" s="5" t="s">
        <v>883</v>
      </c>
      <c r="Y163" s="12">
        <v>281.12</v>
      </c>
      <c r="Z163" s="12">
        <v>0.13</v>
      </c>
      <c r="AA163" s="12">
        <v>105.99</v>
      </c>
      <c r="AB163" s="12">
        <v>175</v>
      </c>
      <c r="AC163" s="12">
        <v>0</v>
      </c>
      <c r="AD163" s="13"/>
      <c r="AE163" s="5"/>
      <c r="AF163" s="5"/>
      <c r="AG163" s="5">
        <v>0</v>
      </c>
      <c r="AH163" s="5">
        <v>0</v>
      </c>
      <c r="AI163" s="7"/>
      <c r="AJ163" s="5"/>
      <c r="AK163" s="5"/>
      <c r="AL163" s="7">
        <v>46078.82135416667</v>
      </c>
      <c r="AM163" s="7" t="s">
        <v>197</v>
      </c>
      <c r="AN163" s="7" t="s">
        <v>884</v>
      </c>
      <c r="AO163" s="7" t="s">
        <v>58</v>
      </c>
    </row>
    <row r="164" spans="1:41" x14ac:dyDescent="0.25">
      <c r="A164" s="5" t="s">
        <v>42</v>
      </c>
      <c r="B164" s="6" t="s">
        <v>43</v>
      </c>
      <c r="C164" s="5">
        <v>4</v>
      </c>
      <c r="D164" s="5" t="s">
        <v>44</v>
      </c>
      <c r="E164" s="7" t="s">
        <v>45</v>
      </c>
      <c r="F164" s="5">
        <v>21537</v>
      </c>
      <c r="G164" s="8">
        <v>46077</v>
      </c>
      <c r="H164" s="8">
        <v>46077</v>
      </c>
      <c r="I164" s="8">
        <v>46077</v>
      </c>
      <c r="J164" s="8">
        <v>46077</v>
      </c>
      <c r="K164" s="9" t="s">
        <v>46</v>
      </c>
      <c r="L164" s="7" t="s">
        <v>47</v>
      </c>
      <c r="M164" s="5" t="s">
        <v>48</v>
      </c>
      <c r="N164" s="5" t="s">
        <v>49</v>
      </c>
      <c r="O164" s="5" t="s">
        <v>59</v>
      </c>
      <c r="P164" s="7" t="s">
        <v>51</v>
      </c>
      <c r="Q164" s="7" t="s">
        <v>51</v>
      </c>
      <c r="R164" s="10" t="s">
        <v>885</v>
      </c>
      <c r="S164" s="7" t="s">
        <v>886</v>
      </c>
      <c r="T164" s="11">
        <v>13.1</v>
      </c>
      <c r="U164" s="12">
        <v>0</v>
      </c>
      <c r="V164" s="7" t="s">
        <v>887</v>
      </c>
      <c r="W164" s="12">
        <v>0</v>
      </c>
      <c r="X164" s="5" t="s">
        <v>888</v>
      </c>
      <c r="Y164" s="12">
        <v>295.86</v>
      </c>
      <c r="Z164" s="12">
        <v>0.11</v>
      </c>
      <c r="AA164" s="12">
        <v>92.3</v>
      </c>
      <c r="AB164" s="12">
        <v>203.45</v>
      </c>
      <c r="AC164" s="12">
        <v>0</v>
      </c>
      <c r="AD164" s="13"/>
      <c r="AE164" s="5"/>
      <c r="AF164" s="5"/>
      <c r="AG164" s="5">
        <v>0</v>
      </c>
      <c r="AH164" s="5">
        <v>0</v>
      </c>
      <c r="AI164" s="7"/>
      <c r="AJ164" s="5"/>
      <c r="AK164" s="5"/>
      <c r="AL164" s="7">
        <v>46078.860023148147</v>
      </c>
      <c r="AM164" s="7" t="s">
        <v>197</v>
      </c>
      <c r="AN164" s="7" t="s">
        <v>344</v>
      </c>
      <c r="AO164" s="7" t="s">
        <v>58</v>
      </c>
    </row>
    <row r="165" spans="1:41" x14ac:dyDescent="0.25">
      <c r="A165" s="5" t="s">
        <v>42</v>
      </c>
      <c r="B165" s="6" t="s">
        <v>43</v>
      </c>
      <c r="C165" s="5">
        <v>2</v>
      </c>
      <c r="D165" s="5" t="s">
        <v>451</v>
      </c>
      <c r="E165" s="7" t="s">
        <v>45</v>
      </c>
      <c r="F165" s="5">
        <v>21541</v>
      </c>
      <c r="G165" s="8">
        <v>46077</v>
      </c>
      <c r="H165" s="8"/>
      <c r="I165" s="8">
        <v>46077</v>
      </c>
      <c r="J165" s="8"/>
      <c r="K165" s="9" t="s">
        <v>46</v>
      </c>
      <c r="L165" s="7" t="s">
        <v>47</v>
      </c>
      <c r="M165" s="5" t="s">
        <v>48</v>
      </c>
      <c r="N165" s="5" t="s">
        <v>49</v>
      </c>
      <c r="O165" s="5" t="s">
        <v>50</v>
      </c>
      <c r="P165" s="7" t="s">
        <v>51</v>
      </c>
      <c r="Q165" s="7" t="s">
        <v>51</v>
      </c>
      <c r="R165" s="10" t="s">
        <v>889</v>
      </c>
      <c r="S165" s="7" t="s">
        <v>890</v>
      </c>
      <c r="T165" s="11">
        <v>11.4</v>
      </c>
      <c r="U165" s="12">
        <v>0</v>
      </c>
      <c r="V165" s="7" t="s">
        <v>54</v>
      </c>
      <c r="W165" s="12">
        <v>0</v>
      </c>
      <c r="X165" s="5" t="s">
        <v>891</v>
      </c>
      <c r="Y165" s="12">
        <v>281.12</v>
      </c>
      <c r="Z165" s="12">
        <v>0.13</v>
      </c>
      <c r="AA165" s="12">
        <v>105.99</v>
      </c>
      <c r="AB165" s="12">
        <v>175</v>
      </c>
      <c r="AC165" s="12">
        <v>0</v>
      </c>
      <c r="AD165" s="13"/>
      <c r="AE165" s="5"/>
      <c r="AF165" s="5"/>
      <c r="AG165" s="5">
        <v>0</v>
      </c>
      <c r="AH165" s="5">
        <v>0</v>
      </c>
      <c r="AI165" s="7"/>
      <c r="AJ165" s="5"/>
      <c r="AK165" s="5"/>
      <c r="AL165" s="7">
        <v>46078.82167824074</v>
      </c>
      <c r="AM165" s="7" t="s">
        <v>197</v>
      </c>
      <c r="AN165" s="7" t="s">
        <v>892</v>
      </c>
      <c r="AO165" s="7" t="s">
        <v>58</v>
      </c>
    </row>
    <row r="166" spans="1:41" x14ac:dyDescent="0.25">
      <c r="A166" s="5" t="s">
        <v>42</v>
      </c>
      <c r="B166" s="6" t="s">
        <v>43</v>
      </c>
      <c r="C166" s="5">
        <v>4</v>
      </c>
      <c r="D166" s="5" t="s">
        <v>44</v>
      </c>
      <c r="E166" s="7" t="s">
        <v>45</v>
      </c>
      <c r="F166" s="5">
        <v>21542</v>
      </c>
      <c r="G166" s="8">
        <v>46077</v>
      </c>
      <c r="H166" s="8">
        <v>46077</v>
      </c>
      <c r="I166" s="8">
        <v>46077</v>
      </c>
      <c r="J166" s="8">
        <v>46077</v>
      </c>
      <c r="K166" s="9" t="s">
        <v>46</v>
      </c>
      <c r="L166" s="7" t="s">
        <v>47</v>
      </c>
      <c r="M166" s="5" t="s">
        <v>48</v>
      </c>
      <c r="N166" s="5" t="s">
        <v>49</v>
      </c>
      <c r="O166" s="5" t="s">
        <v>59</v>
      </c>
      <c r="P166" s="7" t="s">
        <v>51</v>
      </c>
      <c r="Q166" s="7" t="s">
        <v>51</v>
      </c>
      <c r="R166" s="10" t="s">
        <v>893</v>
      </c>
      <c r="S166" s="7" t="s">
        <v>894</v>
      </c>
      <c r="T166" s="11">
        <v>13.1</v>
      </c>
      <c r="U166" s="12">
        <v>0</v>
      </c>
      <c r="V166" s="7" t="s">
        <v>895</v>
      </c>
      <c r="W166" s="12">
        <v>0</v>
      </c>
      <c r="X166" s="5" t="s">
        <v>896</v>
      </c>
      <c r="Y166" s="12">
        <v>295.86</v>
      </c>
      <c r="Z166" s="12">
        <v>0.11</v>
      </c>
      <c r="AA166" s="12">
        <v>92.3</v>
      </c>
      <c r="AB166" s="12">
        <v>203.45</v>
      </c>
      <c r="AC166" s="12">
        <v>0</v>
      </c>
      <c r="AD166" s="13"/>
      <c r="AE166" s="5"/>
      <c r="AF166" s="5"/>
      <c r="AG166" s="5">
        <v>0</v>
      </c>
      <c r="AH166" s="5">
        <v>0</v>
      </c>
      <c r="AI166" s="7"/>
      <c r="AJ166" s="5"/>
      <c r="AK166" s="5"/>
      <c r="AL166" s="7">
        <v>46078.860196759262</v>
      </c>
      <c r="AM166" s="7" t="s">
        <v>197</v>
      </c>
      <c r="AN166" s="7" t="s">
        <v>897</v>
      </c>
      <c r="AO166" s="7" t="s">
        <v>58</v>
      </c>
    </row>
    <row r="167" spans="1:41" x14ac:dyDescent="0.25">
      <c r="A167" s="5" t="s">
        <v>42</v>
      </c>
      <c r="B167" s="6" t="s">
        <v>43</v>
      </c>
      <c r="C167" s="5">
        <v>3</v>
      </c>
      <c r="D167" s="5" t="s">
        <v>451</v>
      </c>
      <c r="E167" s="7" t="s">
        <v>817</v>
      </c>
      <c r="F167" s="5">
        <v>21100</v>
      </c>
      <c r="G167" s="8">
        <v>46078</v>
      </c>
      <c r="H167" s="8">
        <v>46078</v>
      </c>
      <c r="I167" s="8">
        <v>46078</v>
      </c>
      <c r="J167" s="8">
        <v>46078</v>
      </c>
      <c r="K167" s="9" t="s">
        <v>187</v>
      </c>
      <c r="L167" s="7" t="s">
        <v>188</v>
      </c>
      <c r="M167" s="5" t="s">
        <v>189</v>
      </c>
      <c r="N167" s="5" t="s">
        <v>49</v>
      </c>
      <c r="O167" s="5" t="s">
        <v>898</v>
      </c>
      <c r="P167" s="7" t="s">
        <v>51</v>
      </c>
      <c r="Q167" s="7" t="s">
        <v>51</v>
      </c>
      <c r="R167" s="10" t="s">
        <v>899</v>
      </c>
      <c r="S167" s="7" t="s">
        <v>900</v>
      </c>
      <c r="T167" s="11">
        <v>14</v>
      </c>
      <c r="U167" s="12">
        <v>0</v>
      </c>
      <c r="V167" s="7" t="s">
        <v>901</v>
      </c>
      <c r="W167" s="12">
        <v>0</v>
      </c>
      <c r="X167" s="5" t="s">
        <v>902</v>
      </c>
      <c r="Y167" s="12">
        <v>247.13</v>
      </c>
      <c r="Z167" s="12">
        <v>126.56</v>
      </c>
      <c r="AA167" s="12">
        <v>120.57</v>
      </c>
      <c r="AB167" s="12">
        <v>0</v>
      </c>
      <c r="AC167" s="12">
        <v>0</v>
      </c>
      <c r="AD167" s="13">
        <v>9</v>
      </c>
      <c r="AE167" s="5"/>
      <c r="AF167" s="5"/>
      <c r="AG167" s="5">
        <v>0</v>
      </c>
      <c r="AH167" s="5">
        <v>0</v>
      </c>
      <c r="AI167" s="7"/>
      <c r="AJ167" s="5"/>
      <c r="AK167" s="5"/>
      <c r="AL167" s="7">
        <v>46079.362615740742</v>
      </c>
      <c r="AM167" s="7" t="s">
        <v>85</v>
      </c>
      <c r="AN167" s="7" t="s">
        <v>903</v>
      </c>
      <c r="AO167" s="7" t="s">
        <v>58</v>
      </c>
    </row>
    <row r="168" spans="1:41" x14ac:dyDescent="0.25">
      <c r="A168" s="5" t="s">
        <v>42</v>
      </c>
      <c r="B168" s="6" t="s">
        <v>43</v>
      </c>
      <c r="C168" s="5">
        <v>3</v>
      </c>
      <c r="D168" s="5" t="s">
        <v>451</v>
      </c>
      <c r="E168" s="7" t="s">
        <v>817</v>
      </c>
      <c r="F168" s="5">
        <v>21104</v>
      </c>
      <c r="G168" s="8">
        <v>46078</v>
      </c>
      <c r="H168" s="8">
        <v>46078</v>
      </c>
      <c r="I168" s="8">
        <v>46078</v>
      </c>
      <c r="J168" s="8">
        <v>46078</v>
      </c>
      <c r="K168" s="9" t="s">
        <v>187</v>
      </c>
      <c r="L168" s="7" t="s">
        <v>188</v>
      </c>
      <c r="M168" s="5" t="s">
        <v>189</v>
      </c>
      <c r="N168" s="5" t="s">
        <v>49</v>
      </c>
      <c r="O168" s="5" t="s">
        <v>904</v>
      </c>
      <c r="P168" s="7" t="s">
        <v>51</v>
      </c>
      <c r="Q168" s="7" t="s">
        <v>51</v>
      </c>
      <c r="R168" s="10" t="s">
        <v>905</v>
      </c>
      <c r="S168" s="7" t="s">
        <v>906</v>
      </c>
      <c r="T168" s="11">
        <v>13.8</v>
      </c>
      <c r="U168" s="12">
        <v>0</v>
      </c>
      <c r="V168" s="7" t="s">
        <v>905</v>
      </c>
      <c r="W168" s="12">
        <v>0</v>
      </c>
      <c r="X168" s="5"/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3">
        <v>10</v>
      </c>
      <c r="AE168" s="5"/>
      <c r="AF168" s="5"/>
      <c r="AG168" s="5">
        <v>0</v>
      </c>
      <c r="AH168" s="5">
        <v>0</v>
      </c>
      <c r="AI168" s="7"/>
      <c r="AJ168" s="5"/>
      <c r="AK168" s="5"/>
      <c r="AL168" s="7"/>
      <c r="AM168" s="7"/>
      <c r="AN168" s="7" t="s">
        <v>907</v>
      </c>
      <c r="AO168" s="7" t="s">
        <v>58</v>
      </c>
    </row>
    <row r="169" spans="1:41" x14ac:dyDescent="0.25">
      <c r="A169" s="5" t="s">
        <v>42</v>
      </c>
      <c r="B169" s="6" t="s">
        <v>43</v>
      </c>
      <c r="C169" s="5">
        <v>3</v>
      </c>
      <c r="D169" s="5" t="s">
        <v>451</v>
      </c>
      <c r="E169" s="7" t="s">
        <v>186</v>
      </c>
      <c r="F169" s="5">
        <v>21288</v>
      </c>
      <c r="G169" s="8">
        <v>46078</v>
      </c>
      <c r="H169" s="8">
        <v>46078</v>
      </c>
      <c r="I169" s="8">
        <v>46078</v>
      </c>
      <c r="J169" s="8">
        <v>46078</v>
      </c>
      <c r="K169" s="9" t="s">
        <v>908</v>
      </c>
      <c r="L169" s="7" t="s">
        <v>909</v>
      </c>
      <c r="M169" s="5" t="s">
        <v>910</v>
      </c>
      <c r="N169" s="5" t="s">
        <v>49</v>
      </c>
      <c r="O169" s="5" t="s">
        <v>911</v>
      </c>
      <c r="P169" s="7" t="s">
        <v>51</v>
      </c>
      <c r="Q169" s="7" t="s">
        <v>305</v>
      </c>
      <c r="R169" s="10" t="s">
        <v>912</v>
      </c>
      <c r="S169" s="7" t="s">
        <v>913</v>
      </c>
      <c r="T169" s="11">
        <v>30.8</v>
      </c>
      <c r="U169" s="12">
        <v>0</v>
      </c>
      <c r="V169" s="7" t="s">
        <v>914</v>
      </c>
      <c r="W169" s="12">
        <v>0</v>
      </c>
      <c r="X169" s="5" t="s">
        <v>915</v>
      </c>
      <c r="Y169" s="12">
        <v>799.39</v>
      </c>
      <c r="Z169" s="12">
        <v>310.98</v>
      </c>
      <c r="AA169" s="12">
        <v>296.17</v>
      </c>
      <c r="AB169" s="12">
        <v>192.24</v>
      </c>
      <c r="AC169" s="12">
        <v>0</v>
      </c>
      <c r="AD169" s="13"/>
      <c r="AE169" s="5"/>
      <c r="AF169" s="5"/>
      <c r="AG169" s="5">
        <v>0</v>
      </c>
      <c r="AH169" s="5">
        <v>0</v>
      </c>
      <c r="AI169" s="7"/>
      <c r="AJ169" s="5"/>
      <c r="AK169" s="5"/>
      <c r="AL169" s="7">
        <v>46079.370752314811</v>
      </c>
      <c r="AM169" s="7" t="s">
        <v>85</v>
      </c>
      <c r="AN169" s="7" t="s">
        <v>916</v>
      </c>
      <c r="AO169" s="7" t="s">
        <v>58</v>
      </c>
    </row>
    <row r="170" spans="1:41" x14ac:dyDescent="0.25">
      <c r="A170" s="5" t="s">
        <v>42</v>
      </c>
      <c r="B170" s="6" t="s">
        <v>43</v>
      </c>
      <c r="C170" s="5">
        <v>3</v>
      </c>
      <c r="D170" s="5" t="s">
        <v>451</v>
      </c>
      <c r="E170" s="7" t="s">
        <v>186</v>
      </c>
      <c r="F170" s="5">
        <v>21290</v>
      </c>
      <c r="G170" s="8">
        <v>46078</v>
      </c>
      <c r="H170" s="8">
        <v>46078</v>
      </c>
      <c r="I170" s="8">
        <v>46078</v>
      </c>
      <c r="J170" s="8">
        <v>46078</v>
      </c>
      <c r="K170" s="9" t="s">
        <v>908</v>
      </c>
      <c r="L170" s="7" t="s">
        <v>909</v>
      </c>
      <c r="M170" s="5" t="s">
        <v>910</v>
      </c>
      <c r="N170" s="5" t="s">
        <v>49</v>
      </c>
      <c r="O170" s="5" t="s">
        <v>917</v>
      </c>
      <c r="P170" s="7" t="s">
        <v>51</v>
      </c>
      <c r="Q170" s="7" t="s">
        <v>305</v>
      </c>
      <c r="R170" s="10" t="s">
        <v>918</v>
      </c>
      <c r="S170" s="7" t="s">
        <v>919</v>
      </c>
      <c r="T170" s="11">
        <v>33.1</v>
      </c>
      <c r="U170" s="12">
        <v>0</v>
      </c>
      <c r="V170" s="7" t="s">
        <v>918</v>
      </c>
      <c r="W170" s="12">
        <v>0</v>
      </c>
      <c r="X170" s="5"/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3"/>
      <c r="AE170" s="5"/>
      <c r="AF170" s="5"/>
      <c r="AG170" s="5">
        <v>0</v>
      </c>
      <c r="AH170" s="5">
        <v>0</v>
      </c>
      <c r="AI170" s="7"/>
      <c r="AJ170" s="5"/>
      <c r="AK170" s="5"/>
      <c r="AL170" s="7"/>
      <c r="AM170" s="7"/>
      <c r="AN170" s="7" t="s">
        <v>916</v>
      </c>
      <c r="AO170" s="7" t="s">
        <v>58</v>
      </c>
    </row>
    <row r="171" spans="1:41" x14ac:dyDescent="0.25">
      <c r="A171" s="5" t="s">
        <v>42</v>
      </c>
      <c r="B171" s="6" t="s">
        <v>43</v>
      </c>
      <c r="C171" s="5">
        <v>3</v>
      </c>
      <c r="D171" s="5" t="s">
        <v>451</v>
      </c>
      <c r="E171" s="7" t="s">
        <v>339</v>
      </c>
      <c r="F171" s="5">
        <v>21428</v>
      </c>
      <c r="G171" s="8">
        <v>46078</v>
      </c>
      <c r="H171" s="8">
        <v>46078</v>
      </c>
      <c r="I171" s="8">
        <v>46078</v>
      </c>
      <c r="J171" s="8">
        <v>46078</v>
      </c>
      <c r="K171" s="9" t="s">
        <v>920</v>
      </c>
      <c r="L171" s="7" t="s">
        <v>921</v>
      </c>
      <c r="M171" s="5" t="s">
        <v>922</v>
      </c>
      <c r="N171" s="5" t="s">
        <v>49</v>
      </c>
      <c r="O171" s="5" t="s">
        <v>78</v>
      </c>
      <c r="P171" s="7" t="s">
        <v>51</v>
      </c>
      <c r="Q171" s="7" t="s">
        <v>51</v>
      </c>
      <c r="R171" s="10" t="s">
        <v>923</v>
      </c>
      <c r="S171" s="7" t="s">
        <v>924</v>
      </c>
      <c r="T171" s="11">
        <v>14.5</v>
      </c>
      <c r="U171" s="12">
        <v>0</v>
      </c>
      <c r="V171" s="7" t="s">
        <v>925</v>
      </c>
      <c r="W171" s="12">
        <v>0</v>
      </c>
      <c r="X171" s="5" t="s">
        <v>926</v>
      </c>
      <c r="Y171" s="12">
        <v>430.95</v>
      </c>
      <c r="Z171" s="12">
        <v>131.08000000000001</v>
      </c>
      <c r="AA171" s="12">
        <v>124.87</v>
      </c>
      <c r="AB171" s="12">
        <v>175</v>
      </c>
      <c r="AC171" s="12">
        <v>0</v>
      </c>
      <c r="AD171" s="13">
        <v>52</v>
      </c>
      <c r="AE171" s="5"/>
      <c r="AF171" s="5"/>
      <c r="AG171" s="5">
        <v>0</v>
      </c>
      <c r="AH171" s="5">
        <v>0</v>
      </c>
      <c r="AI171" s="7"/>
      <c r="AJ171" s="5"/>
      <c r="AK171" s="5"/>
      <c r="AL171" s="7">
        <v>46078.850081018521</v>
      </c>
      <c r="AM171" s="7" t="s">
        <v>56</v>
      </c>
      <c r="AN171" s="7" t="s">
        <v>927</v>
      </c>
      <c r="AO171" s="7" t="s">
        <v>58</v>
      </c>
    </row>
    <row r="172" spans="1:41" x14ac:dyDescent="0.25">
      <c r="A172" s="5" t="s">
        <v>42</v>
      </c>
      <c r="B172" s="6" t="s">
        <v>43</v>
      </c>
      <c r="C172" s="5">
        <v>2</v>
      </c>
      <c r="D172" s="5" t="s">
        <v>451</v>
      </c>
      <c r="E172" s="7" t="s">
        <v>339</v>
      </c>
      <c r="F172" s="5">
        <v>21429</v>
      </c>
      <c r="G172" s="8">
        <v>46078</v>
      </c>
      <c r="H172" s="8"/>
      <c r="I172" s="8">
        <v>46078</v>
      </c>
      <c r="J172" s="8"/>
      <c r="K172" s="9" t="s">
        <v>920</v>
      </c>
      <c r="L172" s="7" t="s">
        <v>921</v>
      </c>
      <c r="M172" s="5" t="s">
        <v>922</v>
      </c>
      <c r="N172" s="5" t="s">
        <v>49</v>
      </c>
      <c r="O172" s="5" t="s">
        <v>87</v>
      </c>
      <c r="P172" s="7" t="s">
        <v>51</v>
      </c>
      <c r="Q172" s="7" t="s">
        <v>51</v>
      </c>
      <c r="R172" s="10" t="s">
        <v>928</v>
      </c>
      <c r="S172" s="7" t="s">
        <v>929</v>
      </c>
      <c r="T172" s="11">
        <v>12.8</v>
      </c>
      <c r="U172" s="12">
        <v>0</v>
      </c>
      <c r="V172" s="7" t="s">
        <v>928</v>
      </c>
      <c r="W172" s="12">
        <v>0</v>
      </c>
      <c r="X172" s="5"/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3">
        <v>64</v>
      </c>
      <c r="AE172" s="5"/>
      <c r="AF172" s="5"/>
      <c r="AG172" s="5">
        <v>0</v>
      </c>
      <c r="AH172" s="5">
        <v>0</v>
      </c>
      <c r="AI172" s="7"/>
      <c r="AJ172" s="5"/>
      <c r="AK172" s="5"/>
      <c r="AL172" s="7"/>
      <c r="AM172" s="7"/>
      <c r="AN172" s="7" t="s">
        <v>927</v>
      </c>
      <c r="AO172" s="7" t="s">
        <v>58</v>
      </c>
    </row>
    <row r="173" spans="1:41" x14ac:dyDescent="0.25">
      <c r="A173" s="5" t="s">
        <v>42</v>
      </c>
      <c r="B173" s="6" t="s">
        <v>43</v>
      </c>
      <c r="C173" s="5">
        <v>3</v>
      </c>
      <c r="D173" s="5" t="s">
        <v>451</v>
      </c>
      <c r="E173" s="7" t="s">
        <v>339</v>
      </c>
      <c r="F173" s="5">
        <v>21433</v>
      </c>
      <c r="G173" s="8">
        <v>46078</v>
      </c>
      <c r="H173" s="8">
        <v>46078</v>
      </c>
      <c r="I173" s="8">
        <v>46078</v>
      </c>
      <c r="J173" s="8">
        <v>46078</v>
      </c>
      <c r="K173" s="9" t="s">
        <v>908</v>
      </c>
      <c r="L173" s="7" t="s">
        <v>909</v>
      </c>
      <c r="M173" s="5" t="s">
        <v>910</v>
      </c>
      <c r="N173" s="5" t="s">
        <v>49</v>
      </c>
      <c r="O173" s="5" t="s">
        <v>930</v>
      </c>
      <c r="P173" s="7" t="s">
        <v>51</v>
      </c>
      <c r="Q173" s="7" t="s">
        <v>931</v>
      </c>
      <c r="R173" s="10" t="s">
        <v>932</v>
      </c>
      <c r="S173" s="7" t="s">
        <v>933</v>
      </c>
      <c r="T173" s="11">
        <v>67</v>
      </c>
      <c r="U173" s="12">
        <v>0</v>
      </c>
      <c r="V173" s="7" t="s">
        <v>934</v>
      </c>
      <c r="W173" s="12">
        <v>0</v>
      </c>
      <c r="X173" s="5" t="s">
        <v>935</v>
      </c>
      <c r="Y173" s="12">
        <v>1605.97</v>
      </c>
      <c r="Z173" s="12">
        <v>605.67999999999995</v>
      </c>
      <c r="AA173" s="12">
        <v>577.01</v>
      </c>
      <c r="AB173" s="12">
        <v>423.28</v>
      </c>
      <c r="AC173" s="12">
        <v>0</v>
      </c>
      <c r="AD173" s="13"/>
      <c r="AE173" s="5"/>
      <c r="AF173" s="5"/>
      <c r="AG173" s="5">
        <v>0</v>
      </c>
      <c r="AH173" s="5">
        <v>0</v>
      </c>
      <c r="AI173" s="7"/>
      <c r="AJ173" s="5"/>
      <c r="AK173" s="5"/>
      <c r="AL173" s="7">
        <v>46078.797523148147</v>
      </c>
      <c r="AM173" s="7" t="s">
        <v>56</v>
      </c>
      <c r="AN173" s="7" t="s">
        <v>936</v>
      </c>
      <c r="AO173" s="7" t="s">
        <v>58</v>
      </c>
    </row>
    <row r="174" spans="1:41" x14ac:dyDescent="0.25">
      <c r="A174" s="5" t="s">
        <v>42</v>
      </c>
      <c r="B174" s="6" t="s">
        <v>43</v>
      </c>
      <c r="C174" s="5">
        <v>3</v>
      </c>
      <c r="D174" s="5" t="s">
        <v>451</v>
      </c>
      <c r="E174" s="7" t="s">
        <v>339</v>
      </c>
      <c r="F174" s="5">
        <v>21434</v>
      </c>
      <c r="G174" s="8">
        <v>46078</v>
      </c>
      <c r="H174" s="8">
        <v>46078</v>
      </c>
      <c r="I174" s="8">
        <v>46078</v>
      </c>
      <c r="J174" s="8">
        <v>46078</v>
      </c>
      <c r="K174" s="9" t="s">
        <v>908</v>
      </c>
      <c r="L174" s="7" t="s">
        <v>909</v>
      </c>
      <c r="M174" s="5" t="s">
        <v>910</v>
      </c>
      <c r="N174" s="5" t="s">
        <v>49</v>
      </c>
      <c r="O174" s="5" t="s">
        <v>937</v>
      </c>
      <c r="P174" s="7" t="s">
        <v>931</v>
      </c>
      <c r="Q174" s="7" t="s">
        <v>51</v>
      </c>
      <c r="R174" s="10" t="s">
        <v>938</v>
      </c>
      <c r="S174" s="7" t="s">
        <v>939</v>
      </c>
      <c r="T174" s="11">
        <v>66.099999999999994</v>
      </c>
      <c r="U174" s="12">
        <v>0</v>
      </c>
      <c r="V174" s="7" t="s">
        <v>938</v>
      </c>
      <c r="W174" s="12">
        <v>0</v>
      </c>
      <c r="X174" s="5"/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3"/>
      <c r="AE174" s="5"/>
      <c r="AF174" s="5"/>
      <c r="AG174" s="5">
        <v>0</v>
      </c>
      <c r="AH174" s="5">
        <v>0</v>
      </c>
      <c r="AI174" s="7"/>
      <c r="AJ174" s="5"/>
      <c r="AK174" s="5"/>
      <c r="AL174" s="7"/>
      <c r="AM174" s="7"/>
      <c r="AN174" s="7" t="s">
        <v>936</v>
      </c>
      <c r="AO174" s="7" t="s">
        <v>58</v>
      </c>
    </row>
    <row r="175" spans="1:41" x14ac:dyDescent="0.25">
      <c r="A175" s="5" t="s">
        <v>42</v>
      </c>
      <c r="B175" s="6" t="s">
        <v>43</v>
      </c>
      <c r="C175" s="5">
        <v>3</v>
      </c>
      <c r="D175" s="5" t="s">
        <v>451</v>
      </c>
      <c r="E175" s="7" t="s">
        <v>74</v>
      </c>
      <c r="F175" s="5">
        <v>21583</v>
      </c>
      <c r="G175" s="8">
        <v>46078</v>
      </c>
      <c r="H175" s="8">
        <v>46078</v>
      </c>
      <c r="I175" s="8">
        <v>46078</v>
      </c>
      <c r="J175" s="8">
        <v>46078</v>
      </c>
      <c r="K175" s="9" t="s">
        <v>187</v>
      </c>
      <c r="L175" s="7" t="s">
        <v>188</v>
      </c>
      <c r="M175" s="5" t="s">
        <v>189</v>
      </c>
      <c r="N175" s="5" t="s">
        <v>49</v>
      </c>
      <c r="O175" s="5" t="s">
        <v>940</v>
      </c>
      <c r="P175" s="7" t="s">
        <v>51</v>
      </c>
      <c r="Q175" s="7" t="s">
        <v>51</v>
      </c>
      <c r="R175" s="10" t="s">
        <v>941</v>
      </c>
      <c r="S175" s="7" t="s">
        <v>942</v>
      </c>
      <c r="T175" s="11">
        <v>16.8</v>
      </c>
      <c r="U175" s="12">
        <v>0</v>
      </c>
      <c r="V175" s="7" t="s">
        <v>943</v>
      </c>
      <c r="W175" s="12">
        <v>0</v>
      </c>
      <c r="X175" s="5" t="s">
        <v>944</v>
      </c>
      <c r="Y175" s="12">
        <v>296.55</v>
      </c>
      <c r="Z175" s="12">
        <v>151.87</v>
      </c>
      <c r="AA175" s="12">
        <v>144.68</v>
      </c>
      <c r="AB175" s="12">
        <v>0</v>
      </c>
      <c r="AC175" s="12">
        <v>0</v>
      </c>
      <c r="AD175" s="13">
        <v>9</v>
      </c>
      <c r="AE175" s="5"/>
      <c r="AF175" s="5"/>
      <c r="AG175" s="5">
        <v>0</v>
      </c>
      <c r="AH175" s="5">
        <v>0</v>
      </c>
      <c r="AI175" s="7"/>
      <c r="AJ175" s="5"/>
      <c r="AK175" s="5"/>
      <c r="AL175" s="7">
        <v>46078.850775462961</v>
      </c>
      <c r="AM175" s="7" t="s">
        <v>56</v>
      </c>
      <c r="AN175" s="7" t="s">
        <v>945</v>
      </c>
      <c r="AO175" s="7" t="s">
        <v>58</v>
      </c>
    </row>
    <row r="176" spans="1:41" x14ac:dyDescent="0.25">
      <c r="A176" s="5" t="s">
        <v>42</v>
      </c>
      <c r="B176" s="6" t="s">
        <v>43</v>
      </c>
      <c r="C176" s="5">
        <v>3</v>
      </c>
      <c r="D176" s="5" t="s">
        <v>451</v>
      </c>
      <c r="E176" s="7" t="s">
        <v>74</v>
      </c>
      <c r="F176" s="5">
        <v>21586</v>
      </c>
      <c r="G176" s="8">
        <v>46078</v>
      </c>
      <c r="H176" s="8">
        <v>46078</v>
      </c>
      <c r="I176" s="8">
        <v>46078</v>
      </c>
      <c r="J176" s="8">
        <v>46078</v>
      </c>
      <c r="K176" s="9" t="s">
        <v>187</v>
      </c>
      <c r="L176" s="7" t="s">
        <v>188</v>
      </c>
      <c r="M176" s="5" t="s">
        <v>189</v>
      </c>
      <c r="N176" s="5" t="s">
        <v>49</v>
      </c>
      <c r="O176" s="5" t="s">
        <v>946</v>
      </c>
      <c r="P176" s="7" t="s">
        <v>51</v>
      </c>
      <c r="Q176" s="7" t="s">
        <v>51</v>
      </c>
      <c r="R176" s="10" t="s">
        <v>947</v>
      </c>
      <c r="S176" s="7" t="s">
        <v>948</v>
      </c>
      <c r="T176" s="11">
        <v>16.7</v>
      </c>
      <c r="U176" s="12">
        <v>0</v>
      </c>
      <c r="V176" s="7" t="s">
        <v>947</v>
      </c>
      <c r="W176" s="12">
        <v>0</v>
      </c>
      <c r="X176" s="5"/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3">
        <v>5</v>
      </c>
      <c r="AE176" s="5"/>
      <c r="AF176" s="5"/>
      <c r="AG176" s="5">
        <v>0</v>
      </c>
      <c r="AH176" s="5">
        <v>0</v>
      </c>
      <c r="AI176" s="7"/>
      <c r="AJ176" s="5"/>
      <c r="AK176" s="5"/>
      <c r="AL176" s="7"/>
      <c r="AM176" s="7"/>
      <c r="AN176" s="7" t="s">
        <v>945</v>
      </c>
      <c r="AO176" s="7" t="s">
        <v>58</v>
      </c>
    </row>
    <row r="177" spans="1:41" x14ac:dyDescent="0.25">
      <c r="A177" s="5" t="s">
        <v>42</v>
      </c>
      <c r="B177" s="6" t="s">
        <v>43</v>
      </c>
      <c r="C177" s="5">
        <v>3</v>
      </c>
      <c r="D177" s="5" t="s">
        <v>451</v>
      </c>
      <c r="E177" s="7" t="s">
        <v>74</v>
      </c>
      <c r="F177" s="5">
        <v>21667</v>
      </c>
      <c r="G177" s="8">
        <v>46078</v>
      </c>
      <c r="H177" s="8">
        <v>46078</v>
      </c>
      <c r="I177" s="8">
        <v>46078</v>
      </c>
      <c r="J177" s="8">
        <v>46078</v>
      </c>
      <c r="K177" s="9" t="s">
        <v>688</v>
      </c>
      <c r="L177" s="7" t="s">
        <v>109</v>
      </c>
      <c r="M177" s="5" t="s">
        <v>110</v>
      </c>
      <c r="N177" s="5" t="s">
        <v>49</v>
      </c>
      <c r="O177" s="5" t="s">
        <v>111</v>
      </c>
      <c r="P177" s="7" t="s">
        <v>51</v>
      </c>
      <c r="Q177" s="7" t="s">
        <v>51</v>
      </c>
      <c r="R177" s="10" t="s">
        <v>949</v>
      </c>
      <c r="S177" s="7" t="s">
        <v>950</v>
      </c>
      <c r="T177" s="11">
        <v>25.3</v>
      </c>
      <c r="U177" s="12">
        <v>0</v>
      </c>
      <c r="V177" s="7" t="s">
        <v>951</v>
      </c>
      <c r="W177" s="12">
        <v>0</v>
      </c>
      <c r="X177" s="5" t="s">
        <v>952</v>
      </c>
      <c r="Y177" s="12">
        <v>448.28</v>
      </c>
      <c r="Z177" s="12">
        <v>229.62</v>
      </c>
      <c r="AA177" s="12">
        <v>218.66</v>
      </c>
      <c r="AB177" s="12">
        <v>0</v>
      </c>
      <c r="AC177" s="12">
        <v>0</v>
      </c>
      <c r="AD177" s="13"/>
      <c r="AE177" s="5"/>
      <c r="AF177" s="5"/>
      <c r="AG177" s="5">
        <v>0</v>
      </c>
      <c r="AH177" s="5">
        <v>0</v>
      </c>
      <c r="AI177" s="7"/>
      <c r="AJ177" s="5"/>
      <c r="AK177" s="5"/>
      <c r="AL177" s="7">
        <v>46078.79859953704</v>
      </c>
      <c r="AM177" s="7" t="s">
        <v>56</v>
      </c>
      <c r="AN177" s="7" t="s">
        <v>953</v>
      </c>
      <c r="AO177" s="7" t="s">
        <v>58</v>
      </c>
    </row>
    <row r="178" spans="1:41" x14ac:dyDescent="0.25">
      <c r="A178" s="5" t="s">
        <v>42</v>
      </c>
      <c r="B178" s="6" t="s">
        <v>43</v>
      </c>
      <c r="C178" s="5">
        <v>2</v>
      </c>
      <c r="D178" s="5" t="s">
        <v>451</v>
      </c>
      <c r="E178" s="7" t="s">
        <v>74</v>
      </c>
      <c r="F178" s="5">
        <v>21668</v>
      </c>
      <c r="G178" s="8">
        <v>46078</v>
      </c>
      <c r="H178" s="8"/>
      <c r="I178" s="8">
        <v>46078</v>
      </c>
      <c r="J178" s="8"/>
      <c r="K178" s="9" t="s">
        <v>688</v>
      </c>
      <c r="L178" s="7" t="s">
        <v>109</v>
      </c>
      <c r="M178" s="5" t="s">
        <v>110</v>
      </c>
      <c r="N178" s="5" t="s">
        <v>49</v>
      </c>
      <c r="O178" s="5" t="s">
        <v>117</v>
      </c>
      <c r="P178" s="7" t="s">
        <v>51</v>
      </c>
      <c r="Q178" s="7" t="s">
        <v>51</v>
      </c>
      <c r="R178" s="10" t="s">
        <v>954</v>
      </c>
      <c r="S178" s="7" t="s">
        <v>955</v>
      </c>
      <c r="T178" s="11">
        <v>37</v>
      </c>
      <c r="U178" s="12">
        <v>0</v>
      </c>
      <c r="V178" s="7" t="s">
        <v>954</v>
      </c>
      <c r="W178" s="12">
        <v>0</v>
      </c>
      <c r="X178" s="5"/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3"/>
      <c r="AE178" s="5"/>
      <c r="AF178" s="5"/>
      <c r="AG178" s="5">
        <v>0</v>
      </c>
      <c r="AH178" s="5">
        <v>0</v>
      </c>
      <c r="AI178" s="7"/>
      <c r="AJ178" s="5"/>
      <c r="AK178" s="5"/>
      <c r="AL178" s="7"/>
      <c r="AM178" s="7"/>
      <c r="AN178" s="7" t="s">
        <v>58</v>
      </c>
      <c r="AO178" s="7" t="s">
        <v>58</v>
      </c>
    </row>
    <row r="179" spans="1:41" x14ac:dyDescent="0.25">
      <c r="A179" s="5" t="s">
        <v>42</v>
      </c>
      <c r="B179" s="6" t="s">
        <v>43</v>
      </c>
      <c r="C179" s="5">
        <v>3</v>
      </c>
      <c r="D179" s="5" t="s">
        <v>451</v>
      </c>
      <c r="E179" s="7" t="s">
        <v>93</v>
      </c>
      <c r="F179" s="5">
        <v>21735</v>
      </c>
      <c r="G179" s="8">
        <v>46078</v>
      </c>
      <c r="H179" s="8">
        <v>46078</v>
      </c>
      <c r="I179" s="8">
        <v>46078</v>
      </c>
      <c r="J179" s="8">
        <v>46078</v>
      </c>
      <c r="K179" s="9" t="s">
        <v>920</v>
      </c>
      <c r="L179" s="7" t="s">
        <v>921</v>
      </c>
      <c r="M179" s="5" t="s">
        <v>922</v>
      </c>
      <c r="N179" s="5" t="s">
        <v>49</v>
      </c>
      <c r="O179" s="5" t="s">
        <v>78</v>
      </c>
      <c r="P179" s="7" t="s">
        <v>51</v>
      </c>
      <c r="Q179" s="7" t="s">
        <v>51</v>
      </c>
      <c r="R179" s="10" t="s">
        <v>956</v>
      </c>
      <c r="S179" s="7" t="s">
        <v>957</v>
      </c>
      <c r="T179" s="11">
        <v>14.5</v>
      </c>
      <c r="U179" s="12">
        <v>0</v>
      </c>
      <c r="V179" s="7" t="s">
        <v>958</v>
      </c>
      <c r="W179" s="12">
        <v>0</v>
      </c>
      <c r="X179" s="5" t="s">
        <v>959</v>
      </c>
      <c r="Y179" s="12">
        <v>430.95</v>
      </c>
      <c r="Z179" s="12">
        <v>131.08000000000001</v>
      </c>
      <c r="AA179" s="12">
        <v>124.87</v>
      </c>
      <c r="AB179" s="12">
        <v>175</v>
      </c>
      <c r="AC179" s="12">
        <v>0</v>
      </c>
      <c r="AD179" s="13"/>
      <c r="AE179" s="5"/>
      <c r="AF179" s="5"/>
      <c r="AG179" s="5">
        <v>0</v>
      </c>
      <c r="AH179" s="5">
        <v>0</v>
      </c>
      <c r="AI179" s="7"/>
      <c r="AJ179" s="5"/>
      <c r="AK179" s="5"/>
      <c r="AL179" s="7">
        <v>46078.850185185183</v>
      </c>
      <c r="AM179" s="7" t="s">
        <v>56</v>
      </c>
      <c r="AN179" s="7" t="s">
        <v>960</v>
      </c>
      <c r="AO179" s="7" t="s">
        <v>58</v>
      </c>
    </row>
    <row r="180" spans="1:41" x14ac:dyDescent="0.25">
      <c r="A180" s="5" t="s">
        <v>42</v>
      </c>
      <c r="B180" s="6" t="s">
        <v>43</v>
      </c>
      <c r="C180" s="5">
        <v>2</v>
      </c>
      <c r="D180" s="5" t="s">
        <v>451</v>
      </c>
      <c r="E180" s="7" t="s">
        <v>93</v>
      </c>
      <c r="F180" s="5">
        <v>21737</v>
      </c>
      <c r="G180" s="8">
        <v>46078</v>
      </c>
      <c r="H180" s="8"/>
      <c r="I180" s="8">
        <v>46078</v>
      </c>
      <c r="J180" s="8"/>
      <c r="K180" s="9" t="s">
        <v>920</v>
      </c>
      <c r="L180" s="7" t="s">
        <v>921</v>
      </c>
      <c r="M180" s="5" t="s">
        <v>922</v>
      </c>
      <c r="N180" s="5" t="s">
        <v>49</v>
      </c>
      <c r="O180" s="5" t="s">
        <v>87</v>
      </c>
      <c r="P180" s="7" t="s">
        <v>51</v>
      </c>
      <c r="Q180" s="7" t="s">
        <v>51</v>
      </c>
      <c r="R180" s="10" t="s">
        <v>961</v>
      </c>
      <c r="S180" s="7" t="s">
        <v>962</v>
      </c>
      <c r="T180" s="11">
        <v>12.8</v>
      </c>
      <c r="U180" s="12">
        <v>0</v>
      </c>
      <c r="V180" s="7" t="s">
        <v>961</v>
      </c>
      <c r="W180" s="12">
        <v>0</v>
      </c>
      <c r="X180" s="5"/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3"/>
      <c r="AE180" s="5"/>
      <c r="AF180" s="5"/>
      <c r="AG180" s="5">
        <v>0</v>
      </c>
      <c r="AH180" s="5">
        <v>0</v>
      </c>
      <c r="AI180" s="7"/>
      <c r="AJ180" s="5"/>
      <c r="AK180" s="5"/>
      <c r="AL180" s="7"/>
      <c r="AM180" s="7"/>
      <c r="AN180" s="7" t="s">
        <v>960</v>
      </c>
      <c r="AO180" s="7" t="s">
        <v>58</v>
      </c>
    </row>
    <row r="181" spans="1:41" x14ac:dyDescent="0.25">
      <c r="A181" s="5" t="s">
        <v>42</v>
      </c>
      <c r="B181" s="6" t="s">
        <v>43</v>
      </c>
      <c r="C181" s="5">
        <v>3</v>
      </c>
      <c r="D181" s="5" t="s">
        <v>451</v>
      </c>
      <c r="E181" s="7" t="s">
        <v>93</v>
      </c>
      <c r="F181" s="5">
        <v>21738</v>
      </c>
      <c r="G181" s="8">
        <v>46078</v>
      </c>
      <c r="H181" s="8">
        <v>46078</v>
      </c>
      <c r="I181" s="8">
        <v>46078</v>
      </c>
      <c r="J181" s="8">
        <v>46078</v>
      </c>
      <c r="K181" s="9" t="s">
        <v>688</v>
      </c>
      <c r="L181" s="7" t="s">
        <v>109</v>
      </c>
      <c r="M181" s="5" t="s">
        <v>110</v>
      </c>
      <c r="N181" s="5" t="s">
        <v>49</v>
      </c>
      <c r="O181" s="5" t="s">
        <v>111</v>
      </c>
      <c r="P181" s="7" t="s">
        <v>51</v>
      </c>
      <c r="Q181" s="7" t="s">
        <v>51</v>
      </c>
      <c r="R181" s="10" t="s">
        <v>963</v>
      </c>
      <c r="S181" s="7" t="s">
        <v>964</v>
      </c>
      <c r="T181" s="11">
        <v>25.3</v>
      </c>
      <c r="U181" s="12">
        <v>0</v>
      </c>
      <c r="V181" s="7" t="s">
        <v>965</v>
      </c>
      <c r="W181" s="12">
        <v>0</v>
      </c>
      <c r="X181" s="5" t="s">
        <v>966</v>
      </c>
      <c r="Y181" s="12">
        <v>448.28</v>
      </c>
      <c r="Z181" s="12">
        <v>229.62</v>
      </c>
      <c r="AA181" s="12">
        <v>218.66</v>
      </c>
      <c r="AB181" s="12">
        <v>0</v>
      </c>
      <c r="AC181" s="12">
        <v>0</v>
      </c>
      <c r="AD181" s="13"/>
      <c r="AE181" s="5"/>
      <c r="AF181" s="5"/>
      <c r="AG181" s="5">
        <v>0</v>
      </c>
      <c r="AH181" s="5">
        <v>0</v>
      </c>
      <c r="AI181" s="7"/>
      <c r="AJ181" s="5"/>
      <c r="AK181" s="5"/>
      <c r="AL181" s="7">
        <v>46078.798715277779</v>
      </c>
      <c r="AM181" s="7" t="s">
        <v>56</v>
      </c>
      <c r="AN181" s="7" t="s">
        <v>967</v>
      </c>
      <c r="AO181" s="7" t="s">
        <v>58</v>
      </c>
    </row>
    <row r="182" spans="1:41" x14ac:dyDescent="0.25">
      <c r="A182" s="5" t="s">
        <v>42</v>
      </c>
      <c r="B182" s="6" t="s">
        <v>43</v>
      </c>
      <c r="C182" s="5">
        <v>2</v>
      </c>
      <c r="D182" s="5" t="s">
        <v>451</v>
      </c>
      <c r="E182" s="7" t="s">
        <v>93</v>
      </c>
      <c r="F182" s="5">
        <v>21739</v>
      </c>
      <c r="G182" s="8">
        <v>46078</v>
      </c>
      <c r="H182" s="8"/>
      <c r="I182" s="8">
        <v>46078</v>
      </c>
      <c r="J182" s="8"/>
      <c r="K182" s="9" t="s">
        <v>688</v>
      </c>
      <c r="L182" s="7" t="s">
        <v>109</v>
      </c>
      <c r="M182" s="5" t="s">
        <v>110</v>
      </c>
      <c r="N182" s="5" t="s">
        <v>49</v>
      </c>
      <c r="O182" s="5" t="s">
        <v>117</v>
      </c>
      <c r="P182" s="7" t="s">
        <v>51</v>
      </c>
      <c r="Q182" s="7" t="s">
        <v>51</v>
      </c>
      <c r="R182" s="10" t="s">
        <v>968</v>
      </c>
      <c r="S182" s="7" t="s">
        <v>969</v>
      </c>
      <c r="T182" s="11">
        <v>37</v>
      </c>
      <c r="U182" s="12">
        <v>0</v>
      </c>
      <c r="V182" s="7" t="s">
        <v>968</v>
      </c>
      <c r="W182" s="12">
        <v>0</v>
      </c>
      <c r="X182" s="5"/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3"/>
      <c r="AE182" s="5"/>
      <c r="AF182" s="5"/>
      <c r="AG182" s="5">
        <v>0</v>
      </c>
      <c r="AH182" s="5">
        <v>0</v>
      </c>
      <c r="AI182" s="7"/>
      <c r="AJ182" s="5"/>
      <c r="AK182" s="5"/>
      <c r="AL182" s="7"/>
      <c r="AM182" s="7"/>
      <c r="AN182" s="7" t="s">
        <v>58</v>
      </c>
      <c r="AO182" s="7" t="s">
        <v>58</v>
      </c>
    </row>
    <row r="183" spans="1:41" x14ac:dyDescent="0.25">
      <c r="A183" s="5" t="s">
        <v>42</v>
      </c>
      <c r="B183" s="6" t="s">
        <v>43</v>
      </c>
      <c r="C183" s="5">
        <v>3</v>
      </c>
      <c r="D183" s="5" t="s">
        <v>451</v>
      </c>
      <c r="E183" s="7" t="s">
        <v>93</v>
      </c>
      <c r="F183" s="5">
        <v>21807</v>
      </c>
      <c r="G183" s="8">
        <v>46078</v>
      </c>
      <c r="H183" s="8">
        <v>46078</v>
      </c>
      <c r="I183" s="8">
        <v>46078</v>
      </c>
      <c r="J183" s="8">
        <v>46078</v>
      </c>
      <c r="K183" s="9" t="s">
        <v>187</v>
      </c>
      <c r="L183" s="7" t="s">
        <v>188</v>
      </c>
      <c r="M183" s="5" t="s">
        <v>189</v>
      </c>
      <c r="N183" s="5" t="s">
        <v>49</v>
      </c>
      <c r="O183" s="5" t="s">
        <v>970</v>
      </c>
      <c r="P183" s="7" t="s">
        <v>51</v>
      </c>
      <c r="Q183" s="7" t="s">
        <v>51</v>
      </c>
      <c r="R183" s="10" t="s">
        <v>971</v>
      </c>
      <c r="S183" s="7" t="s">
        <v>972</v>
      </c>
      <c r="T183" s="11">
        <v>18.899999999999999</v>
      </c>
      <c r="U183" s="12">
        <v>0</v>
      </c>
      <c r="V183" s="7" t="s">
        <v>973</v>
      </c>
      <c r="W183" s="12">
        <v>0</v>
      </c>
      <c r="X183" s="5" t="s">
        <v>974</v>
      </c>
      <c r="Y183" s="12">
        <v>508.54</v>
      </c>
      <c r="Z183" s="12">
        <v>170.86</v>
      </c>
      <c r="AA183" s="12">
        <v>162.68</v>
      </c>
      <c r="AB183" s="12">
        <v>175</v>
      </c>
      <c r="AC183" s="12">
        <v>0</v>
      </c>
      <c r="AD183" s="13">
        <v>11</v>
      </c>
      <c r="AE183" s="5"/>
      <c r="AF183" s="5"/>
      <c r="AG183" s="5">
        <v>0</v>
      </c>
      <c r="AH183" s="5">
        <v>0</v>
      </c>
      <c r="AI183" s="7"/>
      <c r="AJ183" s="5"/>
      <c r="AK183" s="5"/>
      <c r="AL183" s="7">
        <v>46078.437037037038</v>
      </c>
      <c r="AM183" s="7" t="s">
        <v>85</v>
      </c>
      <c r="AN183" s="7" t="s">
        <v>975</v>
      </c>
      <c r="AO183" s="7" t="s">
        <v>58</v>
      </c>
    </row>
    <row r="184" spans="1:41" x14ac:dyDescent="0.25">
      <c r="A184" s="5" t="s">
        <v>42</v>
      </c>
      <c r="B184" s="6" t="s">
        <v>43</v>
      </c>
      <c r="C184" s="5">
        <v>3</v>
      </c>
      <c r="D184" s="5" t="s">
        <v>451</v>
      </c>
      <c r="E184" s="7" t="s">
        <v>93</v>
      </c>
      <c r="F184" s="5">
        <v>21808</v>
      </c>
      <c r="G184" s="8">
        <v>46078</v>
      </c>
      <c r="H184" s="8">
        <v>46078</v>
      </c>
      <c r="I184" s="8">
        <v>46078</v>
      </c>
      <c r="J184" s="8">
        <v>46078</v>
      </c>
      <c r="K184" s="9" t="s">
        <v>187</v>
      </c>
      <c r="L184" s="7" t="s">
        <v>188</v>
      </c>
      <c r="M184" s="5" t="s">
        <v>189</v>
      </c>
      <c r="N184" s="5" t="s">
        <v>49</v>
      </c>
      <c r="O184" s="5" t="s">
        <v>976</v>
      </c>
      <c r="P184" s="7" t="s">
        <v>51</v>
      </c>
      <c r="Q184" s="7" t="s">
        <v>51</v>
      </c>
      <c r="R184" s="10" t="s">
        <v>977</v>
      </c>
      <c r="S184" s="7" t="s">
        <v>978</v>
      </c>
      <c r="T184" s="11">
        <v>18.2</v>
      </c>
      <c r="U184" s="12">
        <v>0</v>
      </c>
      <c r="V184" s="7" t="s">
        <v>977</v>
      </c>
      <c r="W184" s="12">
        <v>0</v>
      </c>
      <c r="X184" s="5"/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3"/>
      <c r="AE184" s="5"/>
      <c r="AF184" s="5"/>
      <c r="AG184" s="5">
        <v>0</v>
      </c>
      <c r="AH184" s="5">
        <v>0</v>
      </c>
      <c r="AI184" s="7"/>
      <c r="AJ184" s="5"/>
      <c r="AK184" s="5"/>
      <c r="AL184" s="7"/>
      <c r="AM184" s="7"/>
      <c r="AN184" s="7" t="s">
        <v>979</v>
      </c>
      <c r="AO184" s="7" t="s">
        <v>58</v>
      </c>
    </row>
    <row r="185" spans="1:41" x14ac:dyDescent="0.25">
      <c r="A185" s="5" t="s">
        <v>42</v>
      </c>
      <c r="B185" s="6" t="s">
        <v>43</v>
      </c>
      <c r="C185" s="5">
        <v>2</v>
      </c>
      <c r="D185" s="5" t="s">
        <v>451</v>
      </c>
      <c r="E185" s="7" t="s">
        <v>45</v>
      </c>
      <c r="F185" s="5">
        <v>21960</v>
      </c>
      <c r="G185" s="8">
        <v>46078</v>
      </c>
      <c r="H185" s="8"/>
      <c r="I185" s="8">
        <v>46078</v>
      </c>
      <c r="J185" s="8"/>
      <c r="K185" s="9" t="s">
        <v>46</v>
      </c>
      <c r="L185" s="7" t="s">
        <v>47</v>
      </c>
      <c r="M185" s="5" t="s">
        <v>48</v>
      </c>
      <c r="N185" s="5" t="s">
        <v>49</v>
      </c>
      <c r="O185" s="5" t="s">
        <v>50</v>
      </c>
      <c r="P185" s="7" t="s">
        <v>51</v>
      </c>
      <c r="Q185" s="7" t="s">
        <v>51</v>
      </c>
      <c r="R185" s="10" t="s">
        <v>980</v>
      </c>
      <c r="S185" s="7" t="s">
        <v>981</v>
      </c>
      <c r="T185" s="11">
        <v>11.4</v>
      </c>
      <c r="U185" s="12">
        <v>0</v>
      </c>
      <c r="V185" s="7" t="s">
        <v>54</v>
      </c>
      <c r="W185" s="12">
        <v>0</v>
      </c>
      <c r="X185" s="5"/>
      <c r="Y185" s="12">
        <v>0</v>
      </c>
      <c r="Z185" s="12">
        <v>0</v>
      </c>
      <c r="AA185" s="12">
        <v>0</v>
      </c>
      <c r="AB185" s="12">
        <v>0</v>
      </c>
      <c r="AC185" s="12">
        <v>0</v>
      </c>
      <c r="AD185" s="13"/>
      <c r="AE185" s="5"/>
      <c r="AF185" s="5"/>
      <c r="AG185" s="5">
        <v>0</v>
      </c>
      <c r="AH185" s="5">
        <v>0</v>
      </c>
      <c r="AI185" s="7"/>
      <c r="AJ185" s="5"/>
      <c r="AK185" s="5"/>
      <c r="AL185" s="7"/>
      <c r="AM185" s="7"/>
      <c r="AN185" s="7" t="s">
        <v>982</v>
      </c>
      <c r="AO185" s="7" t="s">
        <v>58</v>
      </c>
    </row>
    <row r="186" spans="1:41" x14ac:dyDescent="0.25">
      <c r="A186" s="5" t="s">
        <v>42</v>
      </c>
      <c r="B186" s="6" t="s">
        <v>43</v>
      </c>
      <c r="C186" s="5">
        <v>4</v>
      </c>
      <c r="D186" s="5" t="s">
        <v>44</v>
      </c>
      <c r="E186" s="7" t="s">
        <v>45</v>
      </c>
      <c r="F186" s="5">
        <v>21961</v>
      </c>
      <c r="G186" s="8">
        <v>46078</v>
      </c>
      <c r="H186" s="8">
        <v>46078</v>
      </c>
      <c r="I186" s="8">
        <v>46078</v>
      </c>
      <c r="J186" s="8">
        <v>46078</v>
      </c>
      <c r="K186" s="9" t="s">
        <v>46</v>
      </c>
      <c r="L186" s="7" t="s">
        <v>47</v>
      </c>
      <c r="M186" s="5" t="s">
        <v>48</v>
      </c>
      <c r="N186" s="5" t="s">
        <v>49</v>
      </c>
      <c r="O186" s="5" t="s">
        <v>59</v>
      </c>
      <c r="P186" s="7" t="s">
        <v>51</v>
      </c>
      <c r="Q186" s="7" t="s">
        <v>51</v>
      </c>
      <c r="R186" s="10" t="s">
        <v>983</v>
      </c>
      <c r="S186" s="7" t="s">
        <v>984</v>
      </c>
      <c r="T186" s="11">
        <v>13.1</v>
      </c>
      <c r="U186" s="12">
        <v>0</v>
      </c>
      <c r="V186" s="7" t="s">
        <v>985</v>
      </c>
      <c r="W186" s="12">
        <v>0</v>
      </c>
      <c r="X186" s="5"/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3"/>
      <c r="AE186" s="5"/>
      <c r="AF186" s="5"/>
      <c r="AG186" s="5">
        <v>0</v>
      </c>
      <c r="AH186" s="5">
        <v>0</v>
      </c>
      <c r="AI186" s="7"/>
      <c r="AJ186" s="5"/>
      <c r="AK186" s="5"/>
      <c r="AL186" s="7"/>
      <c r="AM186" s="7"/>
      <c r="AN186" s="7" t="s">
        <v>884</v>
      </c>
      <c r="AO186" s="7" t="s">
        <v>58</v>
      </c>
    </row>
    <row r="187" spans="1:41" x14ac:dyDescent="0.25">
      <c r="A187" s="5" t="s">
        <v>42</v>
      </c>
      <c r="B187" s="6" t="s">
        <v>43</v>
      </c>
      <c r="C187" s="5">
        <v>2</v>
      </c>
      <c r="D187" s="5" t="s">
        <v>451</v>
      </c>
      <c r="E187" s="7" t="s">
        <v>45</v>
      </c>
      <c r="F187" s="5">
        <v>21962</v>
      </c>
      <c r="G187" s="8">
        <v>46078</v>
      </c>
      <c r="H187" s="8"/>
      <c r="I187" s="8">
        <v>46078</v>
      </c>
      <c r="J187" s="8"/>
      <c r="K187" s="9" t="s">
        <v>46</v>
      </c>
      <c r="L187" s="7" t="s">
        <v>47</v>
      </c>
      <c r="M187" s="5" t="s">
        <v>48</v>
      </c>
      <c r="N187" s="5" t="s">
        <v>49</v>
      </c>
      <c r="O187" s="5" t="s">
        <v>50</v>
      </c>
      <c r="P187" s="7" t="s">
        <v>51</v>
      </c>
      <c r="Q187" s="7" t="s">
        <v>51</v>
      </c>
      <c r="R187" s="10" t="s">
        <v>986</v>
      </c>
      <c r="S187" s="7" t="s">
        <v>987</v>
      </c>
      <c r="T187" s="11">
        <v>11.4</v>
      </c>
      <c r="U187" s="12">
        <v>0</v>
      </c>
      <c r="V187" s="7" t="s">
        <v>54</v>
      </c>
      <c r="W187" s="12">
        <v>0</v>
      </c>
      <c r="X187" s="5"/>
      <c r="Y187" s="12">
        <v>0</v>
      </c>
      <c r="Z187" s="12">
        <v>0</v>
      </c>
      <c r="AA187" s="12">
        <v>0</v>
      </c>
      <c r="AB187" s="12">
        <v>0</v>
      </c>
      <c r="AC187" s="12">
        <v>0</v>
      </c>
      <c r="AD187" s="13"/>
      <c r="AE187" s="5"/>
      <c r="AF187" s="5"/>
      <c r="AG187" s="5">
        <v>0</v>
      </c>
      <c r="AH187" s="5">
        <v>0</v>
      </c>
      <c r="AI187" s="7"/>
      <c r="AJ187" s="5"/>
      <c r="AK187" s="5"/>
      <c r="AL187" s="7"/>
      <c r="AM187" s="7"/>
      <c r="AN187" s="7" t="s">
        <v>988</v>
      </c>
      <c r="AO187" s="7" t="s">
        <v>58</v>
      </c>
    </row>
    <row r="188" spans="1:41" x14ac:dyDescent="0.25">
      <c r="A188" s="5" t="s">
        <v>42</v>
      </c>
      <c r="B188" s="6" t="s">
        <v>43</v>
      </c>
      <c r="C188" s="5">
        <v>4</v>
      </c>
      <c r="D188" s="5" t="s">
        <v>44</v>
      </c>
      <c r="E188" s="7" t="s">
        <v>45</v>
      </c>
      <c r="F188" s="5">
        <v>21963</v>
      </c>
      <c r="G188" s="8">
        <v>46078</v>
      </c>
      <c r="H188" s="8">
        <v>46078</v>
      </c>
      <c r="I188" s="8">
        <v>46078</v>
      </c>
      <c r="J188" s="8">
        <v>46078</v>
      </c>
      <c r="K188" s="9" t="s">
        <v>46</v>
      </c>
      <c r="L188" s="7" t="s">
        <v>47</v>
      </c>
      <c r="M188" s="5" t="s">
        <v>48</v>
      </c>
      <c r="N188" s="5" t="s">
        <v>49</v>
      </c>
      <c r="O188" s="5" t="s">
        <v>59</v>
      </c>
      <c r="P188" s="7" t="s">
        <v>51</v>
      </c>
      <c r="Q188" s="7" t="s">
        <v>51</v>
      </c>
      <c r="R188" s="10" t="s">
        <v>989</v>
      </c>
      <c r="S188" s="7" t="s">
        <v>990</v>
      </c>
      <c r="T188" s="11">
        <v>13.1</v>
      </c>
      <c r="U188" s="12">
        <v>0</v>
      </c>
      <c r="V188" s="7" t="s">
        <v>991</v>
      </c>
      <c r="W188" s="12">
        <v>0</v>
      </c>
      <c r="X188" s="5"/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3"/>
      <c r="AE188" s="5"/>
      <c r="AF188" s="5"/>
      <c r="AG188" s="5">
        <v>0</v>
      </c>
      <c r="AH188" s="5">
        <v>0</v>
      </c>
      <c r="AI188" s="7"/>
      <c r="AJ188" s="5"/>
      <c r="AK188" s="5"/>
      <c r="AL188" s="7"/>
      <c r="AM188" s="7"/>
      <c r="AN188" s="7" t="s">
        <v>892</v>
      </c>
      <c r="AO188" s="7" t="s">
        <v>58</v>
      </c>
    </row>
    <row r="189" spans="1:41" x14ac:dyDescent="0.25">
      <c r="A189" s="5" t="s">
        <v>42</v>
      </c>
      <c r="B189" s="6" t="s">
        <v>43</v>
      </c>
      <c r="C189" s="5">
        <v>3</v>
      </c>
      <c r="D189" s="5" t="s">
        <v>451</v>
      </c>
      <c r="E189" s="7" t="s">
        <v>74</v>
      </c>
      <c r="F189" s="5">
        <v>22066</v>
      </c>
      <c r="G189" s="8">
        <v>46078</v>
      </c>
      <c r="H189" s="8">
        <v>46078</v>
      </c>
      <c r="I189" s="8">
        <v>46078</v>
      </c>
      <c r="J189" s="8">
        <v>46078</v>
      </c>
      <c r="K189" s="9" t="s">
        <v>908</v>
      </c>
      <c r="L189" s="7" t="s">
        <v>909</v>
      </c>
      <c r="M189" s="5" t="s">
        <v>910</v>
      </c>
      <c r="N189" s="5" t="s">
        <v>49</v>
      </c>
      <c r="O189" s="5" t="s">
        <v>992</v>
      </c>
      <c r="P189" s="7" t="s">
        <v>51</v>
      </c>
      <c r="Q189" s="7" t="s">
        <v>51</v>
      </c>
      <c r="R189" s="10" t="s">
        <v>993</v>
      </c>
      <c r="S189" s="7" t="s">
        <v>994</v>
      </c>
      <c r="T189" s="11">
        <v>6</v>
      </c>
      <c r="U189" s="12">
        <v>0</v>
      </c>
      <c r="V189" s="7" t="s">
        <v>995</v>
      </c>
      <c r="W189" s="12">
        <v>0</v>
      </c>
      <c r="X189" s="5" t="s">
        <v>996</v>
      </c>
      <c r="Y189" s="12">
        <v>107.59</v>
      </c>
      <c r="Z189" s="12">
        <v>55.14</v>
      </c>
      <c r="AA189" s="12">
        <v>52.45</v>
      </c>
      <c r="AB189" s="12">
        <v>0</v>
      </c>
      <c r="AC189" s="12">
        <v>0</v>
      </c>
      <c r="AD189" s="13"/>
      <c r="AE189" s="5"/>
      <c r="AF189" s="5"/>
      <c r="AG189" s="5">
        <v>0</v>
      </c>
      <c r="AH189" s="5">
        <v>0</v>
      </c>
      <c r="AI189" s="7"/>
      <c r="AJ189" s="5"/>
      <c r="AK189" s="5"/>
      <c r="AL189" s="7">
        <v>46079.37027777778</v>
      </c>
      <c r="AM189" s="7" t="s">
        <v>85</v>
      </c>
      <c r="AN189" s="7" t="s">
        <v>997</v>
      </c>
      <c r="AO189" s="7" t="s">
        <v>58</v>
      </c>
    </row>
    <row r="190" spans="1:41" x14ac:dyDescent="0.25">
      <c r="A190" s="5" t="s">
        <v>42</v>
      </c>
      <c r="B190" s="6" t="s">
        <v>43</v>
      </c>
      <c r="C190" s="5">
        <v>3</v>
      </c>
      <c r="D190" s="5" t="s">
        <v>451</v>
      </c>
      <c r="E190" s="7" t="s">
        <v>74</v>
      </c>
      <c r="F190" s="5">
        <v>22067</v>
      </c>
      <c r="G190" s="8">
        <v>46078</v>
      </c>
      <c r="H190" s="8">
        <v>46078</v>
      </c>
      <c r="I190" s="8">
        <v>46078</v>
      </c>
      <c r="J190" s="8">
        <v>46078</v>
      </c>
      <c r="K190" s="9" t="s">
        <v>908</v>
      </c>
      <c r="L190" s="7" t="s">
        <v>909</v>
      </c>
      <c r="M190" s="5" t="s">
        <v>910</v>
      </c>
      <c r="N190" s="5" t="s">
        <v>49</v>
      </c>
      <c r="O190" s="5" t="s">
        <v>998</v>
      </c>
      <c r="P190" s="7" t="s">
        <v>51</v>
      </c>
      <c r="Q190" s="7" t="s">
        <v>51</v>
      </c>
      <c r="R190" s="10" t="s">
        <v>999</v>
      </c>
      <c r="S190" s="7" t="s">
        <v>1000</v>
      </c>
      <c r="T190" s="11">
        <v>3.7</v>
      </c>
      <c r="U190" s="12">
        <v>0</v>
      </c>
      <c r="V190" s="7" t="s">
        <v>999</v>
      </c>
      <c r="W190" s="12">
        <v>0</v>
      </c>
      <c r="X190" s="5"/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3"/>
      <c r="AE190" s="5"/>
      <c r="AF190" s="5"/>
      <c r="AG190" s="5">
        <v>0</v>
      </c>
      <c r="AH190" s="5">
        <v>0</v>
      </c>
      <c r="AI190" s="7"/>
      <c r="AJ190" s="5"/>
      <c r="AK190" s="5"/>
      <c r="AL190" s="7"/>
      <c r="AM190" s="7"/>
      <c r="AN190" s="7" t="s">
        <v>997</v>
      </c>
      <c r="AO190" s="7" t="s">
        <v>58</v>
      </c>
    </row>
    <row r="191" spans="1:41" x14ac:dyDescent="0.25">
      <c r="A191" s="5" t="s">
        <v>42</v>
      </c>
      <c r="B191" s="6" t="s">
        <v>43</v>
      </c>
      <c r="C191" s="5">
        <v>2</v>
      </c>
      <c r="D191" s="5" t="s">
        <v>451</v>
      </c>
      <c r="E191" s="7" t="s">
        <v>45</v>
      </c>
      <c r="F191" s="5">
        <v>22113</v>
      </c>
      <c r="G191" s="8">
        <v>46078</v>
      </c>
      <c r="H191" s="8"/>
      <c r="I191" s="8">
        <v>46078</v>
      </c>
      <c r="J191" s="8"/>
      <c r="K191" s="9" t="s">
        <v>108</v>
      </c>
      <c r="L191" s="7" t="s">
        <v>606</v>
      </c>
      <c r="M191" s="5" t="s">
        <v>607</v>
      </c>
      <c r="N191" s="5" t="s">
        <v>49</v>
      </c>
      <c r="O191" s="5" t="s">
        <v>50</v>
      </c>
      <c r="P191" s="7" t="s">
        <v>51</v>
      </c>
      <c r="Q191" s="7" t="s">
        <v>51</v>
      </c>
      <c r="R191" s="10" t="s">
        <v>1001</v>
      </c>
      <c r="S191" s="7" t="s">
        <v>1002</v>
      </c>
      <c r="T191" s="11">
        <v>11.4</v>
      </c>
      <c r="U191" s="12">
        <v>0</v>
      </c>
      <c r="V191" s="7" t="s">
        <v>54</v>
      </c>
      <c r="W191" s="12">
        <v>0</v>
      </c>
      <c r="X191" s="5"/>
      <c r="Y191" s="12">
        <v>0</v>
      </c>
      <c r="Z191" s="12">
        <v>0</v>
      </c>
      <c r="AA191" s="12">
        <v>0</v>
      </c>
      <c r="AB191" s="12">
        <v>0</v>
      </c>
      <c r="AC191" s="12">
        <v>0</v>
      </c>
      <c r="AD191" s="13"/>
      <c r="AE191" s="5"/>
      <c r="AF191" s="5"/>
      <c r="AG191" s="5">
        <v>0</v>
      </c>
      <c r="AH191" s="5">
        <v>0</v>
      </c>
      <c r="AI191" s="7"/>
      <c r="AJ191" s="5"/>
      <c r="AK191" s="5"/>
      <c r="AL191" s="7"/>
      <c r="AM191" s="7"/>
      <c r="AN191" s="7" t="s">
        <v>721</v>
      </c>
      <c r="AO191" s="7" t="s">
        <v>58</v>
      </c>
    </row>
    <row r="192" spans="1:41" x14ac:dyDescent="0.25">
      <c r="A192" s="5" t="s">
        <v>42</v>
      </c>
      <c r="B192" s="6" t="s">
        <v>43</v>
      </c>
      <c r="C192" s="5">
        <v>3</v>
      </c>
      <c r="D192" s="5" t="s">
        <v>451</v>
      </c>
      <c r="E192" s="7" t="s">
        <v>45</v>
      </c>
      <c r="F192" s="5">
        <v>22114</v>
      </c>
      <c r="G192" s="8">
        <v>46078</v>
      </c>
      <c r="H192" s="8">
        <v>46078</v>
      </c>
      <c r="I192" s="8">
        <v>46078</v>
      </c>
      <c r="J192" s="8">
        <v>46078</v>
      </c>
      <c r="K192" s="9" t="s">
        <v>108</v>
      </c>
      <c r="L192" s="7" t="s">
        <v>606</v>
      </c>
      <c r="M192" s="5" t="s">
        <v>607</v>
      </c>
      <c r="N192" s="5" t="s">
        <v>49</v>
      </c>
      <c r="O192" s="5" t="s">
        <v>59</v>
      </c>
      <c r="P192" s="7" t="s">
        <v>51</v>
      </c>
      <c r="Q192" s="7" t="s">
        <v>51</v>
      </c>
      <c r="R192" s="10" t="s">
        <v>1003</v>
      </c>
      <c r="S192" s="7" t="s">
        <v>1004</v>
      </c>
      <c r="T192" s="11">
        <v>13.1</v>
      </c>
      <c r="U192" s="12">
        <v>0</v>
      </c>
      <c r="V192" s="7" t="s">
        <v>1005</v>
      </c>
      <c r="W192" s="12">
        <v>0</v>
      </c>
      <c r="X192" s="5"/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3"/>
      <c r="AE192" s="5"/>
      <c r="AF192" s="5"/>
      <c r="AG192" s="5">
        <v>0</v>
      </c>
      <c r="AH192" s="5">
        <v>0</v>
      </c>
      <c r="AI192" s="7"/>
      <c r="AJ192" s="5"/>
      <c r="AK192" s="5"/>
      <c r="AL192" s="7"/>
      <c r="AM192" s="7"/>
      <c r="AN192" s="7" t="s">
        <v>1006</v>
      </c>
      <c r="AO192" s="7" t="s">
        <v>58</v>
      </c>
    </row>
    <row r="193" spans="1:41" x14ac:dyDescent="0.25">
      <c r="A193" s="5" t="s">
        <v>42</v>
      </c>
      <c r="B193" s="6" t="s">
        <v>43</v>
      </c>
      <c r="C193" s="5">
        <v>2</v>
      </c>
      <c r="D193" s="5" t="s">
        <v>451</v>
      </c>
      <c r="E193" s="7" t="s">
        <v>45</v>
      </c>
      <c r="F193" s="5">
        <v>22115</v>
      </c>
      <c r="G193" s="8">
        <v>46078</v>
      </c>
      <c r="H193" s="8"/>
      <c r="I193" s="8">
        <v>46078</v>
      </c>
      <c r="J193" s="8"/>
      <c r="K193" s="9" t="s">
        <v>108</v>
      </c>
      <c r="L193" s="7" t="s">
        <v>606</v>
      </c>
      <c r="M193" s="5" t="s">
        <v>607</v>
      </c>
      <c r="N193" s="5" t="s">
        <v>49</v>
      </c>
      <c r="O193" s="5" t="s">
        <v>50</v>
      </c>
      <c r="P193" s="7" t="s">
        <v>51</v>
      </c>
      <c r="Q193" s="7" t="s">
        <v>51</v>
      </c>
      <c r="R193" s="10" t="s">
        <v>1007</v>
      </c>
      <c r="S193" s="7" t="s">
        <v>1008</v>
      </c>
      <c r="T193" s="11">
        <v>11.4</v>
      </c>
      <c r="U193" s="12">
        <v>0</v>
      </c>
      <c r="V193" s="7" t="s">
        <v>54</v>
      </c>
      <c r="W193" s="12">
        <v>0</v>
      </c>
      <c r="X193" s="5"/>
      <c r="Y193" s="12">
        <v>0</v>
      </c>
      <c r="Z193" s="12">
        <v>0</v>
      </c>
      <c r="AA193" s="12">
        <v>0</v>
      </c>
      <c r="AB193" s="12">
        <v>0</v>
      </c>
      <c r="AC193" s="12">
        <v>0</v>
      </c>
      <c r="AD193" s="13"/>
      <c r="AE193" s="5"/>
      <c r="AF193" s="5"/>
      <c r="AG193" s="5">
        <v>0</v>
      </c>
      <c r="AH193" s="5">
        <v>0</v>
      </c>
      <c r="AI193" s="7"/>
      <c r="AJ193" s="5"/>
      <c r="AK193" s="5"/>
      <c r="AL193" s="7"/>
      <c r="AM193" s="7"/>
      <c r="AN193" s="7" t="s">
        <v>1009</v>
      </c>
      <c r="AO193" s="7" t="s">
        <v>58</v>
      </c>
    </row>
    <row r="194" spans="1:41" x14ac:dyDescent="0.25">
      <c r="A194" s="5" t="s">
        <v>42</v>
      </c>
      <c r="B194" s="6" t="s">
        <v>43</v>
      </c>
      <c r="C194" s="5">
        <v>3</v>
      </c>
      <c r="D194" s="5" t="s">
        <v>451</v>
      </c>
      <c r="E194" s="7" t="s">
        <v>45</v>
      </c>
      <c r="F194" s="5">
        <v>22116</v>
      </c>
      <c r="G194" s="8">
        <v>46078</v>
      </c>
      <c r="H194" s="8">
        <v>46078</v>
      </c>
      <c r="I194" s="8">
        <v>46078</v>
      </c>
      <c r="J194" s="8">
        <v>46078</v>
      </c>
      <c r="K194" s="9" t="s">
        <v>108</v>
      </c>
      <c r="L194" s="7" t="s">
        <v>606</v>
      </c>
      <c r="M194" s="5" t="s">
        <v>607</v>
      </c>
      <c r="N194" s="5" t="s">
        <v>49</v>
      </c>
      <c r="O194" s="5" t="s">
        <v>59</v>
      </c>
      <c r="P194" s="7" t="s">
        <v>51</v>
      </c>
      <c r="Q194" s="7" t="s">
        <v>51</v>
      </c>
      <c r="R194" s="10" t="s">
        <v>1010</v>
      </c>
      <c r="S194" s="7" t="s">
        <v>1011</v>
      </c>
      <c r="T194" s="11">
        <v>13.1</v>
      </c>
      <c r="U194" s="12">
        <v>0</v>
      </c>
      <c r="V194" s="7" t="s">
        <v>1012</v>
      </c>
      <c r="W194" s="12">
        <v>0</v>
      </c>
      <c r="X194" s="5"/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3"/>
      <c r="AE194" s="5"/>
      <c r="AF194" s="5"/>
      <c r="AG194" s="5">
        <v>0</v>
      </c>
      <c r="AH194" s="5">
        <v>0</v>
      </c>
      <c r="AI194" s="7"/>
      <c r="AJ194" s="5"/>
      <c r="AK194" s="5"/>
      <c r="AL194" s="7"/>
      <c r="AM194" s="7"/>
      <c r="AN194" s="7" t="s">
        <v>1013</v>
      </c>
      <c r="AO194" s="7" t="s">
        <v>58</v>
      </c>
    </row>
    <row r="195" spans="1:41" x14ac:dyDescent="0.25">
      <c r="A195" s="5" t="s">
        <v>42</v>
      </c>
      <c r="B195" s="6" t="s">
        <v>43</v>
      </c>
      <c r="C195" s="5">
        <v>2</v>
      </c>
      <c r="D195" s="5" t="s">
        <v>451</v>
      </c>
      <c r="E195" s="7" t="s">
        <v>186</v>
      </c>
      <c r="F195" s="5">
        <v>21286</v>
      </c>
      <c r="G195" s="8">
        <v>46079</v>
      </c>
      <c r="H195" s="8"/>
      <c r="I195" s="8">
        <v>46079</v>
      </c>
      <c r="J195" s="8"/>
      <c r="K195" s="9" t="s">
        <v>187</v>
      </c>
      <c r="L195" s="7" t="s">
        <v>188</v>
      </c>
      <c r="M195" s="5" t="s">
        <v>189</v>
      </c>
      <c r="N195" s="5" t="s">
        <v>49</v>
      </c>
      <c r="O195" s="5" t="s">
        <v>647</v>
      </c>
      <c r="P195" s="7" t="s">
        <v>51</v>
      </c>
      <c r="Q195" s="7" t="s">
        <v>648</v>
      </c>
      <c r="R195" s="10" t="s">
        <v>1014</v>
      </c>
      <c r="S195" s="7" t="s">
        <v>1015</v>
      </c>
      <c r="T195" s="11">
        <v>9.1</v>
      </c>
      <c r="U195" s="12">
        <v>0</v>
      </c>
      <c r="V195" s="7" t="s">
        <v>1016</v>
      </c>
      <c r="W195" s="12">
        <v>0</v>
      </c>
      <c r="X195" s="5" t="s">
        <v>1017</v>
      </c>
      <c r="Y195" s="12">
        <v>160.54</v>
      </c>
      <c r="Z195" s="12">
        <v>82.26</v>
      </c>
      <c r="AA195" s="12">
        <v>78.28</v>
      </c>
      <c r="AB195" s="12">
        <v>0</v>
      </c>
      <c r="AC195" s="12">
        <v>0</v>
      </c>
      <c r="AD195" s="13"/>
      <c r="AE195" s="5"/>
      <c r="AF195" s="5"/>
      <c r="AG195" s="5">
        <v>0</v>
      </c>
      <c r="AH195" s="5">
        <v>0</v>
      </c>
      <c r="AI195" s="7"/>
      <c r="AJ195" s="5"/>
      <c r="AK195" s="5"/>
      <c r="AL195" s="7">
        <v>46079.371863425928</v>
      </c>
      <c r="AM195" s="7" t="s">
        <v>85</v>
      </c>
      <c r="AN195" s="7" t="s">
        <v>1018</v>
      </c>
      <c r="AO195" s="7" t="s">
        <v>58</v>
      </c>
    </row>
    <row r="196" spans="1:41" x14ac:dyDescent="0.25">
      <c r="A196" s="5" t="s">
        <v>42</v>
      </c>
      <c r="B196" s="6" t="s">
        <v>43</v>
      </c>
      <c r="C196" s="5">
        <v>2</v>
      </c>
      <c r="D196" s="5" t="s">
        <v>451</v>
      </c>
      <c r="E196" s="7" t="s">
        <v>186</v>
      </c>
      <c r="F196" s="5">
        <v>21287</v>
      </c>
      <c r="G196" s="8">
        <v>46079</v>
      </c>
      <c r="H196" s="8"/>
      <c r="I196" s="8">
        <v>46079</v>
      </c>
      <c r="J196" s="8"/>
      <c r="K196" s="9" t="s">
        <v>187</v>
      </c>
      <c r="L196" s="7" t="s">
        <v>188</v>
      </c>
      <c r="M196" s="5" t="s">
        <v>189</v>
      </c>
      <c r="N196" s="5" t="s">
        <v>49</v>
      </c>
      <c r="O196" s="5" t="s">
        <v>654</v>
      </c>
      <c r="P196" s="7" t="s">
        <v>51</v>
      </c>
      <c r="Q196" s="7" t="s">
        <v>51</v>
      </c>
      <c r="R196" s="10" t="s">
        <v>1019</v>
      </c>
      <c r="S196" s="7" t="s">
        <v>1020</v>
      </c>
      <c r="T196" s="11">
        <v>12.5</v>
      </c>
      <c r="U196" s="12">
        <v>0</v>
      </c>
      <c r="V196" s="7" t="s">
        <v>1019</v>
      </c>
      <c r="W196" s="12">
        <v>0</v>
      </c>
      <c r="X196" s="5"/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3"/>
      <c r="AE196" s="5"/>
      <c r="AF196" s="5"/>
      <c r="AG196" s="5">
        <v>0</v>
      </c>
      <c r="AH196" s="5">
        <v>0</v>
      </c>
      <c r="AI196" s="7"/>
      <c r="AJ196" s="5"/>
      <c r="AK196" s="5"/>
      <c r="AL196" s="7"/>
      <c r="AM196" s="7"/>
      <c r="AN196" s="7" t="s">
        <v>1021</v>
      </c>
      <c r="AO196" s="7" t="s">
        <v>58</v>
      </c>
    </row>
    <row r="197" spans="1:41" x14ac:dyDescent="0.25">
      <c r="A197" s="5" t="s">
        <v>42</v>
      </c>
      <c r="B197" s="6" t="s">
        <v>43</v>
      </c>
      <c r="C197" s="5">
        <v>2</v>
      </c>
      <c r="D197" s="5" t="s">
        <v>451</v>
      </c>
      <c r="E197" s="7" t="s">
        <v>74</v>
      </c>
      <c r="F197" s="5">
        <v>21935</v>
      </c>
      <c r="G197" s="8">
        <v>46079</v>
      </c>
      <c r="H197" s="8"/>
      <c r="I197" s="8">
        <v>46079</v>
      </c>
      <c r="J197" s="8"/>
      <c r="K197" s="9" t="s">
        <v>187</v>
      </c>
      <c r="L197" s="7" t="s">
        <v>188</v>
      </c>
      <c r="M197" s="5" t="s">
        <v>189</v>
      </c>
      <c r="N197" s="5" t="s">
        <v>49</v>
      </c>
      <c r="O197" s="5" t="s">
        <v>227</v>
      </c>
      <c r="P197" s="7" t="s">
        <v>51</v>
      </c>
      <c r="Q197" s="7" t="s">
        <v>51</v>
      </c>
      <c r="R197" s="10" t="s">
        <v>1022</v>
      </c>
      <c r="S197" s="7" t="s">
        <v>1023</v>
      </c>
      <c r="T197" s="11">
        <v>8.8000000000000007</v>
      </c>
      <c r="U197" s="12">
        <v>0</v>
      </c>
      <c r="V197" s="7" t="s">
        <v>1024</v>
      </c>
      <c r="W197" s="12">
        <v>0</v>
      </c>
      <c r="X197" s="5" t="s">
        <v>1025</v>
      </c>
      <c r="Y197" s="12">
        <v>155.33000000000001</v>
      </c>
      <c r="Z197" s="12">
        <v>79.55</v>
      </c>
      <c r="AA197" s="12">
        <v>75.78</v>
      </c>
      <c r="AB197" s="12">
        <v>0</v>
      </c>
      <c r="AC197" s="12">
        <v>0</v>
      </c>
      <c r="AD197" s="13"/>
      <c r="AE197" s="5"/>
      <c r="AF197" s="5"/>
      <c r="AG197" s="5">
        <v>0</v>
      </c>
      <c r="AH197" s="5">
        <v>0</v>
      </c>
      <c r="AI197" s="7"/>
      <c r="AJ197" s="5"/>
      <c r="AK197" s="5"/>
      <c r="AL197" s="7">
        <v>46079.408541666664</v>
      </c>
      <c r="AM197" s="7" t="s">
        <v>85</v>
      </c>
      <c r="AN197" s="7" t="s">
        <v>1026</v>
      </c>
      <c r="AO197" s="7" t="s">
        <v>58</v>
      </c>
    </row>
    <row r="198" spans="1:41" x14ac:dyDescent="0.25">
      <c r="A198" s="5" t="s">
        <v>42</v>
      </c>
      <c r="B198" s="6" t="s">
        <v>43</v>
      </c>
      <c r="C198" s="5">
        <v>2</v>
      </c>
      <c r="D198" s="5" t="s">
        <v>451</v>
      </c>
      <c r="E198" s="7" t="s">
        <v>74</v>
      </c>
      <c r="F198" s="5">
        <v>21936</v>
      </c>
      <c r="G198" s="8">
        <v>46079</v>
      </c>
      <c r="H198" s="8"/>
      <c r="I198" s="8">
        <v>46079</v>
      </c>
      <c r="J198" s="8"/>
      <c r="K198" s="9" t="s">
        <v>187</v>
      </c>
      <c r="L198" s="7" t="s">
        <v>188</v>
      </c>
      <c r="M198" s="5" t="s">
        <v>189</v>
      </c>
      <c r="N198" s="5" t="s">
        <v>49</v>
      </c>
      <c r="O198" s="5" t="s">
        <v>233</v>
      </c>
      <c r="P198" s="7" t="s">
        <v>51</v>
      </c>
      <c r="Q198" s="7" t="s">
        <v>51</v>
      </c>
      <c r="R198" s="10" t="s">
        <v>1027</v>
      </c>
      <c r="S198" s="7" t="s">
        <v>1028</v>
      </c>
      <c r="T198" s="11">
        <v>7.8</v>
      </c>
      <c r="U198" s="12">
        <v>0</v>
      </c>
      <c r="V198" s="7" t="s">
        <v>1027</v>
      </c>
      <c r="W198" s="12">
        <v>0</v>
      </c>
      <c r="X198" s="5"/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3"/>
      <c r="AE198" s="5"/>
      <c r="AF198" s="5"/>
      <c r="AG198" s="5">
        <v>0</v>
      </c>
      <c r="AH198" s="5">
        <v>0</v>
      </c>
      <c r="AI198" s="7"/>
      <c r="AJ198" s="5"/>
      <c r="AK198" s="5"/>
      <c r="AL198" s="7"/>
      <c r="AM198" s="7"/>
      <c r="AN198" s="7" t="s">
        <v>58</v>
      </c>
      <c r="AO198" s="7" t="s">
        <v>58</v>
      </c>
    </row>
    <row r="199" spans="1:41" x14ac:dyDescent="0.25">
      <c r="A199" s="5" t="s">
        <v>42</v>
      </c>
      <c r="B199" s="6" t="s">
        <v>43</v>
      </c>
      <c r="C199" s="5">
        <v>2</v>
      </c>
      <c r="D199" s="5" t="s">
        <v>451</v>
      </c>
      <c r="E199" s="7" t="s">
        <v>93</v>
      </c>
      <c r="F199" s="5">
        <v>22125</v>
      </c>
      <c r="G199" s="8">
        <v>46079</v>
      </c>
      <c r="H199" s="8"/>
      <c r="I199" s="8">
        <v>46079</v>
      </c>
      <c r="J199" s="8"/>
      <c r="K199" s="9" t="s">
        <v>908</v>
      </c>
      <c r="L199" s="7" t="s">
        <v>909</v>
      </c>
      <c r="M199" s="5" t="s">
        <v>910</v>
      </c>
      <c r="N199" s="5" t="s">
        <v>49</v>
      </c>
      <c r="O199" s="5" t="s">
        <v>1029</v>
      </c>
      <c r="P199" s="7" t="s">
        <v>51</v>
      </c>
      <c r="Q199" s="7" t="s">
        <v>51</v>
      </c>
      <c r="R199" s="10" t="s">
        <v>1030</v>
      </c>
      <c r="S199" s="7" t="s">
        <v>1031</v>
      </c>
      <c r="T199" s="11">
        <v>11</v>
      </c>
      <c r="U199" s="12">
        <v>0</v>
      </c>
      <c r="V199" s="7" t="s">
        <v>1032</v>
      </c>
      <c r="W199" s="12">
        <v>0</v>
      </c>
      <c r="X199" s="5" t="s">
        <v>1033</v>
      </c>
      <c r="Y199" s="12">
        <v>369.17</v>
      </c>
      <c r="Z199" s="12">
        <v>99.44</v>
      </c>
      <c r="AA199" s="12">
        <v>94.73</v>
      </c>
      <c r="AB199" s="12">
        <v>175</v>
      </c>
      <c r="AC199" s="12">
        <v>0</v>
      </c>
      <c r="AD199" s="13"/>
      <c r="AE199" s="5"/>
      <c r="AF199" s="5"/>
      <c r="AG199" s="5">
        <v>0</v>
      </c>
      <c r="AH199" s="5">
        <v>0</v>
      </c>
      <c r="AI199" s="7"/>
      <c r="AJ199" s="5"/>
      <c r="AK199" s="5"/>
      <c r="AL199" s="7">
        <v>46079.38071759259</v>
      </c>
      <c r="AM199" s="7" t="s">
        <v>85</v>
      </c>
      <c r="AN199" s="7" t="s">
        <v>1034</v>
      </c>
      <c r="AO199" s="7" t="s">
        <v>58</v>
      </c>
    </row>
    <row r="200" spans="1:41" x14ac:dyDescent="0.25">
      <c r="A200" s="5" t="s">
        <v>42</v>
      </c>
      <c r="B200" s="6" t="s">
        <v>43</v>
      </c>
      <c r="C200" s="5">
        <v>2</v>
      </c>
      <c r="D200" s="5" t="s">
        <v>451</v>
      </c>
      <c r="E200" s="7" t="s">
        <v>93</v>
      </c>
      <c r="F200" s="5">
        <v>22126</v>
      </c>
      <c r="G200" s="8">
        <v>46079</v>
      </c>
      <c r="H200" s="8"/>
      <c r="I200" s="8">
        <v>46079</v>
      </c>
      <c r="J200" s="8"/>
      <c r="K200" s="9" t="s">
        <v>908</v>
      </c>
      <c r="L200" s="7" t="s">
        <v>909</v>
      </c>
      <c r="M200" s="5" t="s">
        <v>910</v>
      </c>
      <c r="N200" s="5" t="s">
        <v>49</v>
      </c>
      <c r="O200" s="5" t="s">
        <v>1035</v>
      </c>
      <c r="P200" s="7" t="s">
        <v>51</v>
      </c>
      <c r="Q200" s="7" t="s">
        <v>51</v>
      </c>
      <c r="R200" s="10" t="s">
        <v>1036</v>
      </c>
      <c r="S200" s="7" t="s">
        <v>1037</v>
      </c>
      <c r="T200" s="11">
        <v>7.4</v>
      </c>
      <c r="U200" s="12">
        <v>0</v>
      </c>
      <c r="V200" s="7" t="s">
        <v>1036</v>
      </c>
      <c r="W200" s="12">
        <v>0</v>
      </c>
      <c r="X200" s="5"/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3"/>
      <c r="AE200" s="5"/>
      <c r="AF200" s="5"/>
      <c r="AG200" s="5">
        <v>0</v>
      </c>
      <c r="AH200" s="5">
        <v>0</v>
      </c>
      <c r="AI200" s="7"/>
      <c r="AJ200" s="5"/>
      <c r="AK200" s="5"/>
      <c r="AL200" s="7"/>
      <c r="AM200" s="7"/>
      <c r="AN200" s="7" t="s">
        <v>1034</v>
      </c>
      <c r="AO200" s="7" t="s">
        <v>58</v>
      </c>
    </row>
    <row r="201" spans="1:41" x14ac:dyDescent="0.25">
      <c r="A201" t="s">
        <v>1038</v>
      </c>
      <c r="B201" s="14" t="s">
        <v>43</v>
      </c>
      <c r="C201">
        <v>3</v>
      </c>
      <c r="D201" t="s">
        <v>451</v>
      </c>
      <c r="E201" s="15" t="s">
        <v>93</v>
      </c>
      <c r="F201">
        <v>21845</v>
      </c>
      <c r="G201" s="16">
        <v>46078</v>
      </c>
      <c r="H201" s="16">
        <v>46078</v>
      </c>
      <c r="I201" s="16">
        <v>46078</v>
      </c>
      <c r="J201" s="16">
        <v>46078</v>
      </c>
      <c r="K201" s="17" t="s">
        <v>1039</v>
      </c>
      <c r="L201" s="15" t="s">
        <v>1040</v>
      </c>
      <c r="M201" t="s">
        <v>1041</v>
      </c>
      <c r="N201" t="s">
        <v>49</v>
      </c>
      <c r="O201" t="s">
        <v>111</v>
      </c>
      <c r="P201" s="15" t="s">
        <v>51</v>
      </c>
      <c r="Q201" s="15" t="s">
        <v>51</v>
      </c>
      <c r="R201" s="18" t="s">
        <v>1042</v>
      </c>
      <c r="S201" s="15" t="s">
        <v>1043</v>
      </c>
      <c r="T201" s="19">
        <v>25.3</v>
      </c>
      <c r="U201" s="20">
        <v>0</v>
      </c>
      <c r="V201" s="15" t="s">
        <v>1044</v>
      </c>
      <c r="W201" s="20">
        <v>0</v>
      </c>
      <c r="X201" t="s">
        <v>1045</v>
      </c>
      <c r="Y201" s="20">
        <v>448.28</v>
      </c>
      <c r="Z201" s="20">
        <v>229.62</v>
      </c>
      <c r="AA201" s="20">
        <v>218.66</v>
      </c>
      <c r="AB201" s="20">
        <v>0</v>
      </c>
      <c r="AC201" s="20">
        <v>0</v>
      </c>
      <c r="AD201" s="21"/>
      <c r="AG201">
        <v>0</v>
      </c>
      <c r="AH201">
        <v>0</v>
      </c>
      <c r="AI201" s="15"/>
      <c r="AL201" s="15">
        <v>46078.797395833331</v>
      </c>
      <c r="AM201" s="15" t="s">
        <v>56</v>
      </c>
      <c r="AN201" s="15" t="s">
        <v>1046</v>
      </c>
      <c r="AO201" s="15" t="s">
        <v>58</v>
      </c>
    </row>
    <row r="202" spans="1:41" x14ac:dyDescent="0.25">
      <c r="A202" t="s">
        <v>1038</v>
      </c>
      <c r="B202" s="14" t="s">
        <v>43</v>
      </c>
      <c r="C202">
        <v>3</v>
      </c>
      <c r="D202" t="s">
        <v>451</v>
      </c>
      <c r="E202" s="15" t="s">
        <v>93</v>
      </c>
      <c r="F202">
        <v>21846</v>
      </c>
      <c r="G202" s="16">
        <v>46078</v>
      </c>
      <c r="H202" s="16">
        <v>46078</v>
      </c>
      <c r="I202" s="16">
        <v>46078</v>
      </c>
      <c r="J202" s="16">
        <v>46078</v>
      </c>
      <c r="K202" s="17" t="s">
        <v>1039</v>
      </c>
      <c r="L202" s="15" t="s">
        <v>1040</v>
      </c>
      <c r="M202" t="s">
        <v>1041</v>
      </c>
      <c r="N202" t="s">
        <v>49</v>
      </c>
      <c r="O202" t="s">
        <v>117</v>
      </c>
      <c r="P202" s="15" t="s">
        <v>51</v>
      </c>
      <c r="Q202" s="15" t="s">
        <v>51</v>
      </c>
      <c r="R202" s="18" t="s">
        <v>1047</v>
      </c>
      <c r="S202" s="15" t="s">
        <v>1048</v>
      </c>
      <c r="T202" s="19">
        <v>37</v>
      </c>
      <c r="U202" s="20">
        <v>0</v>
      </c>
      <c r="V202" s="15" t="s">
        <v>1047</v>
      </c>
      <c r="W202" s="20">
        <v>0</v>
      </c>
      <c r="Y202" s="20">
        <v>0</v>
      </c>
      <c r="Z202" s="20">
        <v>0</v>
      </c>
      <c r="AA202" s="20">
        <v>0</v>
      </c>
      <c r="AB202" s="20">
        <v>0</v>
      </c>
      <c r="AC202" s="20">
        <v>0</v>
      </c>
      <c r="AD202" s="21"/>
      <c r="AG202">
        <v>0</v>
      </c>
      <c r="AH202">
        <v>0</v>
      </c>
      <c r="AI202" s="15"/>
      <c r="AL202" s="15"/>
      <c r="AM202" s="15"/>
      <c r="AN202" s="15" t="s">
        <v>721</v>
      </c>
      <c r="AO202" s="15" t="s">
        <v>58</v>
      </c>
    </row>
    <row r="203" spans="1:41" x14ac:dyDescent="0.25">
      <c r="A203" t="s">
        <v>1049</v>
      </c>
      <c r="B203" s="14" t="s">
        <v>43</v>
      </c>
      <c r="C203">
        <v>3</v>
      </c>
      <c r="D203" t="s">
        <v>451</v>
      </c>
      <c r="E203" s="15" t="s">
        <v>93</v>
      </c>
      <c r="F203">
        <v>19876</v>
      </c>
      <c r="G203" s="16">
        <v>46074</v>
      </c>
      <c r="H203" s="16">
        <v>46074</v>
      </c>
      <c r="I203" s="16">
        <v>46074</v>
      </c>
      <c r="J203" s="16">
        <v>46074</v>
      </c>
      <c r="K203" s="22" t="s">
        <v>1050</v>
      </c>
      <c r="L203" s="15" t="s">
        <v>1051</v>
      </c>
      <c r="M203" t="s">
        <v>1052</v>
      </c>
      <c r="N203" t="s">
        <v>49</v>
      </c>
      <c r="O203" t="s">
        <v>203</v>
      </c>
      <c r="P203" s="15" t="s">
        <v>51</v>
      </c>
      <c r="Q203" s="15" t="s">
        <v>51</v>
      </c>
      <c r="R203" s="18" t="s">
        <v>1053</v>
      </c>
      <c r="S203" s="15" t="s">
        <v>1054</v>
      </c>
      <c r="T203" s="19">
        <v>18.100000000000001</v>
      </c>
      <c r="U203" s="20">
        <v>0</v>
      </c>
      <c r="V203" s="15" t="s">
        <v>1055</v>
      </c>
      <c r="W203" s="20">
        <v>0</v>
      </c>
      <c r="X203" t="s">
        <v>1056</v>
      </c>
      <c r="Y203" s="20">
        <v>408.1</v>
      </c>
      <c r="Z203" s="20">
        <v>208.82</v>
      </c>
      <c r="AA203" s="20">
        <v>199.28</v>
      </c>
      <c r="AB203" s="20">
        <v>0</v>
      </c>
      <c r="AC203" s="20">
        <v>0</v>
      </c>
      <c r="AD203" s="21"/>
      <c r="AG203">
        <v>0</v>
      </c>
      <c r="AH203">
        <v>0</v>
      </c>
      <c r="AI203" s="15"/>
      <c r="AL203" s="15">
        <v>46075.768078703702</v>
      </c>
      <c r="AM203" s="15" t="s">
        <v>85</v>
      </c>
      <c r="AN203" s="15" t="s">
        <v>1057</v>
      </c>
      <c r="AO203" s="15" t="s">
        <v>625</v>
      </c>
    </row>
    <row r="204" spans="1:41" x14ac:dyDescent="0.25">
      <c r="A204" t="s">
        <v>1049</v>
      </c>
      <c r="B204" s="14" t="s">
        <v>43</v>
      </c>
      <c r="C204">
        <v>3</v>
      </c>
      <c r="D204" t="s">
        <v>451</v>
      </c>
      <c r="E204" s="15" t="s">
        <v>93</v>
      </c>
      <c r="F204">
        <v>19877</v>
      </c>
      <c r="G204" s="16">
        <v>46074</v>
      </c>
      <c r="H204" s="16">
        <v>46074</v>
      </c>
      <c r="I204" s="16">
        <v>46074</v>
      </c>
      <c r="J204" s="16">
        <v>46074</v>
      </c>
      <c r="K204" s="22" t="s">
        <v>1050</v>
      </c>
      <c r="L204" s="15" t="s">
        <v>1051</v>
      </c>
      <c r="M204" t="s">
        <v>1052</v>
      </c>
      <c r="N204" t="s">
        <v>49</v>
      </c>
      <c r="O204" t="s">
        <v>209</v>
      </c>
      <c r="P204" s="15" t="s">
        <v>51</v>
      </c>
      <c r="Q204" s="15" t="s">
        <v>51</v>
      </c>
      <c r="R204" s="18" t="s">
        <v>1058</v>
      </c>
      <c r="S204" s="15" t="s">
        <v>1059</v>
      </c>
      <c r="T204" s="19">
        <v>15.7</v>
      </c>
      <c r="U204" s="20">
        <v>0</v>
      </c>
      <c r="V204" s="15" t="s">
        <v>1058</v>
      </c>
      <c r="W204" s="20">
        <v>0</v>
      </c>
      <c r="X204" t="s">
        <v>1060</v>
      </c>
      <c r="Y204" s="20">
        <v>310.74</v>
      </c>
      <c r="Z204" s="20">
        <v>159.1</v>
      </c>
      <c r="AA204" s="20">
        <v>151.63999999999999</v>
      </c>
      <c r="AB204" s="20">
        <v>0</v>
      </c>
      <c r="AC204" s="20">
        <v>0</v>
      </c>
      <c r="AD204" s="21"/>
      <c r="AG204">
        <v>0</v>
      </c>
      <c r="AH204">
        <v>0</v>
      </c>
      <c r="AI204" s="15"/>
      <c r="AL204" s="15">
        <v>46076.796365740738</v>
      </c>
      <c r="AM204" s="15" t="s">
        <v>197</v>
      </c>
      <c r="AN204" s="15" t="s">
        <v>1061</v>
      </c>
      <c r="AO204" s="15" t="s">
        <v>58</v>
      </c>
    </row>
    <row r="205" spans="1:41" x14ac:dyDescent="0.25">
      <c r="A205" t="s">
        <v>1049</v>
      </c>
      <c r="B205" s="14" t="s">
        <v>43</v>
      </c>
      <c r="C205">
        <v>3</v>
      </c>
      <c r="D205" t="s">
        <v>451</v>
      </c>
      <c r="E205" s="15" t="s">
        <v>817</v>
      </c>
      <c r="F205">
        <v>21121</v>
      </c>
      <c r="G205" s="16">
        <v>46077</v>
      </c>
      <c r="H205" s="16">
        <v>46077</v>
      </c>
      <c r="I205" s="16">
        <v>46077</v>
      </c>
      <c r="J205" s="16">
        <v>46077</v>
      </c>
      <c r="K205" s="22" t="s">
        <v>1050</v>
      </c>
      <c r="L205" s="15" t="s">
        <v>1062</v>
      </c>
      <c r="M205" t="s">
        <v>1063</v>
      </c>
      <c r="N205" t="s">
        <v>49</v>
      </c>
      <c r="O205" t="s">
        <v>1064</v>
      </c>
      <c r="P205" s="15" t="s">
        <v>51</v>
      </c>
      <c r="Q205" s="15" t="s">
        <v>1065</v>
      </c>
      <c r="R205" s="18" t="s">
        <v>1066</v>
      </c>
      <c r="S205" s="15" t="s">
        <v>1067</v>
      </c>
      <c r="T205" s="19">
        <v>24.8</v>
      </c>
      <c r="U205" s="20">
        <v>0</v>
      </c>
      <c r="V205" s="15" t="s">
        <v>1068</v>
      </c>
      <c r="W205" s="20">
        <v>0</v>
      </c>
      <c r="X205" t="s">
        <v>1069</v>
      </c>
      <c r="Y205" s="20">
        <v>602.37</v>
      </c>
      <c r="Z205" s="20">
        <v>249.5</v>
      </c>
      <c r="AA205" s="20">
        <v>243.39</v>
      </c>
      <c r="AB205" s="20">
        <v>109.48</v>
      </c>
      <c r="AC205" s="20">
        <v>0</v>
      </c>
      <c r="AD205" s="21"/>
      <c r="AG205">
        <v>0</v>
      </c>
      <c r="AH205">
        <v>0</v>
      </c>
      <c r="AI205" s="15"/>
      <c r="AL205" s="15">
        <v>46077.327511574076</v>
      </c>
      <c r="AM205" s="15" t="s">
        <v>85</v>
      </c>
      <c r="AN205" s="15" t="s">
        <v>1070</v>
      </c>
      <c r="AO205" s="15" t="s">
        <v>625</v>
      </c>
    </row>
    <row r="206" spans="1:41" x14ac:dyDescent="0.25">
      <c r="A206" t="s">
        <v>1049</v>
      </c>
      <c r="B206" s="14" t="s">
        <v>43</v>
      </c>
      <c r="C206">
        <v>3</v>
      </c>
      <c r="D206" t="s">
        <v>451</v>
      </c>
      <c r="E206" s="15" t="s">
        <v>817</v>
      </c>
      <c r="F206">
        <v>21124</v>
      </c>
      <c r="G206" s="16">
        <v>46077</v>
      </c>
      <c r="H206" s="16">
        <v>46077</v>
      </c>
      <c r="I206" s="16">
        <v>46077</v>
      </c>
      <c r="J206" s="16">
        <v>46077</v>
      </c>
      <c r="K206" s="22" t="s">
        <v>1050</v>
      </c>
      <c r="L206" s="15" t="s">
        <v>1062</v>
      </c>
      <c r="M206" t="s">
        <v>1063</v>
      </c>
      <c r="N206" t="s">
        <v>49</v>
      </c>
      <c r="O206" t="s">
        <v>1071</v>
      </c>
      <c r="P206" s="15" t="s">
        <v>1065</v>
      </c>
      <c r="Q206" s="15" t="s">
        <v>51</v>
      </c>
      <c r="R206" s="18" t="s">
        <v>1072</v>
      </c>
      <c r="S206" s="15" t="s">
        <v>1073</v>
      </c>
      <c r="T206" s="19">
        <v>28.2</v>
      </c>
      <c r="U206" s="20">
        <v>0</v>
      </c>
      <c r="V206" s="15" t="s">
        <v>1072</v>
      </c>
      <c r="W206" s="20">
        <v>0</v>
      </c>
      <c r="X206" t="s">
        <v>1074</v>
      </c>
      <c r="Y206" s="20">
        <v>646.77</v>
      </c>
      <c r="Z206" s="20">
        <v>230.52</v>
      </c>
      <c r="AA206" s="20">
        <v>224.87</v>
      </c>
      <c r="AB206" s="20">
        <v>191.38</v>
      </c>
      <c r="AC206" s="20">
        <v>0</v>
      </c>
      <c r="AD206" s="21"/>
      <c r="AG206">
        <v>0</v>
      </c>
      <c r="AH206">
        <v>0</v>
      </c>
      <c r="AI206" s="15"/>
      <c r="AL206" s="15">
        <v>46078.821030092593</v>
      </c>
      <c r="AM206" s="15" t="s">
        <v>197</v>
      </c>
      <c r="AN206" s="15" t="s">
        <v>1070</v>
      </c>
      <c r="AO206" s="15" t="s">
        <v>58</v>
      </c>
    </row>
  </sheetData>
  <mergeCells count="1">
    <mergeCell ref="A1:A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B1828-3286-48F3-931B-BF674CD89895}">
  <dimension ref="A2:F24"/>
  <sheetViews>
    <sheetView workbookViewId="0">
      <selection activeCell="D27" sqref="D27"/>
    </sheetView>
  </sheetViews>
  <sheetFormatPr baseColWidth="10" defaultRowHeight="15" x14ac:dyDescent="0.25"/>
  <cols>
    <col min="1" max="1" width="16.85546875" customWidth="1"/>
    <col min="3" max="3" width="40.42578125" customWidth="1"/>
    <col min="4" max="4" width="47.7109375" customWidth="1"/>
  </cols>
  <sheetData>
    <row r="2" spans="2:4" x14ac:dyDescent="0.25">
      <c r="B2" s="33" t="s">
        <v>1078</v>
      </c>
      <c r="C2" s="34"/>
      <c r="D2" s="34"/>
    </row>
    <row r="3" spans="2:4" x14ac:dyDescent="0.25">
      <c r="B3" s="26" t="s">
        <v>1077</v>
      </c>
      <c r="C3" s="26" t="s">
        <v>1076</v>
      </c>
      <c r="D3" s="35" t="s">
        <v>1371</v>
      </c>
    </row>
    <row r="4" spans="2:4" x14ac:dyDescent="0.25">
      <c r="B4" s="24" t="s">
        <v>46</v>
      </c>
      <c r="C4" s="24">
        <v>18</v>
      </c>
      <c r="D4" s="24" t="s">
        <v>1370</v>
      </c>
    </row>
    <row r="5" spans="2:4" x14ac:dyDescent="0.25">
      <c r="B5" s="24" t="s">
        <v>75</v>
      </c>
      <c r="C5" s="24">
        <v>2</v>
      </c>
      <c r="D5" s="24" t="s">
        <v>1370</v>
      </c>
    </row>
    <row r="6" spans="2:4" x14ac:dyDescent="0.25">
      <c r="B6" s="24" t="s">
        <v>94</v>
      </c>
      <c r="C6" s="24">
        <v>2</v>
      </c>
      <c r="D6" s="24" t="s">
        <v>1370</v>
      </c>
    </row>
    <row r="7" spans="2:4" x14ac:dyDescent="0.25">
      <c r="B7" s="24" t="s">
        <v>108</v>
      </c>
      <c r="C7" s="24">
        <v>8</v>
      </c>
      <c r="D7" s="24" t="s">
        <v>1370</v>
      </c>
    </row>
    <row r="8" spans="2:4" x14ac:dyDescent="0.25">
      <c r="B8" s="24" t="s">
        <v>187</v>
      </c>
      <c r="C8" s="24">
        <v>37</v>
      </c>
      <c r="D8" s="24" t="s">
        <v>1370</v>
      </c>
    </row>
    <row r="9" spans="2:4" x14ac:dyDescent="0.25">
      <c r="B9" s="24" t="s">
        <v>269</v>
      </c>
      <c r="C9" s="24">
        <v>2</v>
      </c>
      <c r="D9" s="24" t="s">
        <v>1370</v>
      </c>
    </row>
    <row r="10" spans="2:4" x14ac:dyDescent="0.25">
      <c r="B10" s="24" t="s">
        <v>301</v>
      </c>
      <c r="C10" s="24">
        <v>1</v>
      </c>
      <c r="D10" s="24" t="s">
        <v>1370</v>
      </c>
    </row>
    <row r="11" spans="2:4" x14ac:dyDescent="0.25">
      <c r="B11" s="24" t="s">
        <v>316</v>
      </c>
      <c r="C11" s="24">
        <v>4</v>
      </c>
      <c r="D11" s="24" t="s">
        <v>1370</v>
      </c>
    </row>
    <row r="12" spans="2:4" x14ac:dyDescent="0.25">
      <c r="B12" s="24" t="s">
        <v>452</v>
      </c>
      <c r="C12" s="24">
        <v>1</v>
      </c>
      <c r="D12" s="24" t="s">
        <v>1370</v>
      </c>
    </row>
    <row r="13" spans="2:4" x14ac:dyDescent="0.25">
      <c r="B13" s="24" t="s">
        <v>475</v>
      </c>
      <c r="C13" s="24">
        <v>2</v>
      </c>
      <c r="D13" s="24" t="s">
        <v>1370</v>
      </c>
    </row>
    <row r="14" spans="2:4" x14ac:dyDescent="0.25">
      <c r="B14" s="24" t="s">
        <v>493</v>
      </c>
      <c r="C14" s="24">
        <v>4</v>
      </c>
      <c r="D14" s="24" t="s">
        <v>1370</v>
      </c>
    </row>
    <row r="15" spans="2:4" x14ac:dyDescent="0.25">
      <c r="B15" s="24" t="s">
        <v>558</v>
      </c>
      <c r="C15" s="24">
        <v>4</v>
      </c>
      <c r="D15" s="24" t="s">
        <v>1370</v>
      </c>
    </row>
    <row r="16" spans="2:4" x14ac:dyDescent="0.25">
      <c r="B16" s="24" t="s">
        <v>572</v>
      </c>
      <c r="C16" s="24">
        <v>2</v>
      </c>
      <c r="D16" s="24" t="s">
        <v>1370</v>
      </c>
    </row>
    <row r="17" spans="1:6" x14ac:dyDescent="0.25">
      <c r="B17" s="24" t="s">
        <v>617</v>
      </c>
      <c r="C17" s="24">
        <v>2</v>
      </c>
      <c r="D17" s="24" t="s">
        <v>1370</v>
      </c>
    </row>
    <row r="18" spans="1:6" x14ac:dyDescent="0.25">
      <c r="B18" s="24" t="s">
        <v>688</v>
      </c>
      <c r="C18" s="24">
        <v>4</v>
      </c>
      <c r="D18" s="24" t="s">
        <v>1370</v>
      </c>
    </row>
    <row r="19" spans="1:6" x14ac:dyDescent="0.25">
      <c r="B19" s="24" t="s">
        <v>908</v>
      </c>
      <c r="C19" s="24">
        <v>4</v>
      </c>
      <c r="D19" s="24" t="s">
        <v>1370</v>
      </c>
    </row>
    <row r="20" spans="1:6" x14ac:dyDescent="0.25">
      <c r="B20" s="25" t="s">
        <v>920</v>
      </c>
      <c r="C20" s="24">
        <v>2</v>
      </c>
      <c r="D20" s="24" t="s">
        <v>1370</v>
      </c>
    </row>
    <row r="21" spans="1:6" x14ac:dyDescent="0.25">
      <c r="A21" s="24" t="s">
        <v>1075</v>
      </c>
      <c r="B21" s="23">
        <v>17</v>
      </c>
      <c r="C21" s="23">
        <v>99</v>
      </c>
    </row>
    <row r="24" spans="1:6" x14ac:dyDescent="0.25">
      <c r="F24" s="38" t="s">
        <v>1379</v>
      </c>
    </row>
  </sheetData>
  <mergeCells count="1">
    <mergeCell ref="B2:D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1108-BF07-442C-AFCC-42CB67F6C4D4}">
  <dimension ref="A1:AP60"/>
  <sheetViews>
    <sheetView topLeftCell="AC1" workbookViewId="0">
      <selection activeCell="AP17" sqref="AP17"/>
    </sheetView>
  </sheetViews>
  <sheetFormatPr baseColWidth="10" defaultRowHeight="15" x14ac:dyDescent="0.25"/>
  <cols>
    <col min="1" max="1" width="36.140625" bestFit="1" customWidth="1"/>
    <col min="2" max="2" width="14" bestFit="1" customWidth="1"/>
    <col min="3" max="3" width="9.28515625" bestFit="1" customWidth="1"/>
    <col min="4" max="4" width="6.42578125" bestFit="1" customWidth="1"/>
    <col min="5" max="5" width="15.5703125" bestFit="1" customWidth="1"/>
    <col min="6" max="6" width="6" bestFit="1" customWidth="1"/>
    <col min="7" max="9" width="15.7109375" bestFit="1" customWidth="1"/>
    <col min="10" max="10" width="18" bestFit="1" customWidth="1"/>
    <col min="11" max="11" width="10" bestFit="1" customWidth="1"/>
    <col min="12" max="12" width="12.28515625" bestFit="1" customWidth="1"/>
    <col min="13" max="13" width="35" bestFit="1" customWidth="1"/>
    <col min="14" max="14" width="19.28515625" bestFit="1" customWidth="1"/>
    <col min="16" max="17" width="44.85546875" bestFit="1" customWidth="1"/>
    <col min="18" max="18" width="13.140625" bestFit="1" customWidth="1"/>
    <col min="19" max="19" width="10.140625" bestFit="1" customWidth="1"/>
    <col min="20" max="20" width="11.140625" bestFit="1" customWidth="1"/>
    <col min="21" max="21" width="13.140625" bestFit="1" customWidth="1"/>
    <col min="22" max="22" width="32.7109375" bestFit="1" customWidth="1"/>
    <col min="23" max="23" width="18" bestFit="1" customWidth="1"/>
    <col min="24" max="24" width="14" bestFit="1" customWidth="1"/>
    <col min="25" max="25" width="17.42578125" bestFit="1" customWidth="1"/>
    <col min="26" max="27" width="14.42578125" bestFit="1" customWidth="1"/>
    <col min="28" max="28" width="18.140625" bestFit="1" customWidth="1"/>
    <col min="29" max="29" width="14.7109375" bestFit="1" customWidth="1"/>
    <col min="30" max="30" width="9.140625" bestFit="1" customWidth="1"/>
    <col min="31" max="31" width="16.42578125" bestFit="1" customWidth="1"/>
    <col min="32" max="32" width="12.5703125" bestFit="1" customWidth="1"/>
    <col min="33" max="33" width="27.42578125" bestFit="1" customWidth="1"/>
    <col min="34" max="34" width="22.5703125" bestFit="1" customWidth="1"/>
    <col min="35" max="35" width="21.5703125" bestFit="1" customWidth="1"/>
    <col min="36" max="36" width="20.42578125" bestFit="1" customWidth="1"/>
    <col min="37" max="37" width="34.42578125" bestFit="1" customWidth="1"/>
    <col min="38" max="38" width="14.85546875" bestFit="1" customWidth="1"/>
    <col min="39" max="39" width="17.28515625" bestFit="1" customWidth="1"/>
    <col min="40" max="41" width="21.7109375" bestFit="1" customWidth="1"/>
  </cols>
  <sheetData>
    <row r="1" spans="1:42" ht="46.5" x14ac:dyDescent="0.25">
      <c r="A1" s="32" t="s">
        <v>1369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</row>
    <row r="2" spans="1:42" x14ac:dyDescent="0.25">
      <c r="A2" s="27" t="s">
        <v>1079</v>
      </c>
      <c r="B2" s="27" t="s">
        <v>2</v>
      </c>
      <c r="C2" s="27" t="s">
        <v>3</v>
      </c>
      <c r="D2" s="27" t="s">
        <v>4</v>
      </c>
      <c r="E2" s="27" t="s">
        <v>5</v>
      </c>
      <c r="F2" s="27" t="s">
        <v>6</v>
      </c>
      <c r="G2" s="27" t="s">
        <v>7</v>
      </c>
      <c r="H2" s="27" t="s">
        <v>8</v>
      </c>
      <c r="I2" s="27" t="s">
        <v>9</v>
      </c>
      <c r="J2" s="27" t="s">
        <v>10</v>
      </c>
      <c r="K2" s="27" t="s">
        <v>11</v>
      </c>
      <c r="L2" s="27" t="s">
        <v>12</v>
      </c>
      <c r="M2" s="27" t="s">
        <v>13</v>
      </c>
      <c r="N2" s="27" t="s">
        <v>14</v>
      </c>
      <c r="O2" s="27" t="s">
        <v>15</v>
      </c>
      <c r="P2" s="27" t="s">
        <v>16</v>
      </c>
      <c r="Q2" s="27" t="s">
        <v>17</v>
      </c>
      <c r="R2" s="27" t="s">
        <v>18</v>
      </c>
      <c r="S2" s="27" t="s">
        <v>19</v>
      </c>
      <c r="T2" s="28" t="s">
        <v>20</v>
      </c>
      <c r="U2" s="29" t="s">
        <v>21</v>
      </c>
      <c r="V2" s="27" t="s">
        <v>22</v>
      </c>
      <c r="W2" s="29" t="s">
        <v>23</v>
      </c>
      <c r="X2" s="27" t="s">
        <v>24</v>
      </c>
      <c r="Y2" s="29" t="s">
        <v>25</v>
      </c>
      <c r="Z2" s="29" t="s">
        <v>26</v>
      </c>
      <c r="AA2" s="29" t="s">
        <v>27</v>
      </c>
      <c r="AB2" s="29" t="s">
        <v>28</v>
      </c>
      <c r="AC2" s="29" t="s">
        <v>29</v>
      </c>
      <c r="AD2" s="30" t="s">
        <v>30</v>
      </c>
      <c r="AE2" s="27" t="s">
        <v>31</v>
      </c>
      <c r="AF2" s="27" t="s">
        <v>32</v>
      </c>
      <c r="AG2" s="27" t="s">
        <v>33</v>
      </c>
      <c r="AH2" s="27" t="s">
        <v>34</v>
      </c>
      <c r="AI2" s="27" t="s">
        <v>35</v>
      </c>
      <c r="AJ2" s="27" t="s">
        <v>36</v>
      </c>
      <c r="AK2" s="27" t="s">
        <v>37</v>
      </c>
      <c r="AL2" s="27" t="s">
        <v>38</v>
      </c>
      <c r="AM2" s="27" t="s">
        <v>39</v>
      </c>
      <c r="AN2" s="27" t="s">
        <v>40</v>
      </c>
      <c r="AO2" s="27" t="s">
        <v>41</v>
      </c>
    </row>
    <row r="3" spans="1:42" x14ac:dyDescent="0.25">
      <c r="A3" t="s">
        <v>1364</v>
      </c>
      <c r="B3" s="14" t="s">
        <v>1080</v>
      </c>
      <c r="C3">
        <v>4</v>
      </c>
      <c r="D3" t="s">
        <v>44</v>
      </c>
      <c r="E3" s="15" t="s">
        <v>1081</v>
      </c>
      <c r="F3">
        <v>16530</v>
      </c>
      <c r="G3" s="16">
        <v>46065</v>
      </c>
      <c r="H3" s="16">
        <v>46065</v>
      </c>
      <c r="I3" s="16">
        <v>46065</v>
      </c>
      <c r="J3" s="16">
        <v>46065</v>
      </c>
      <c r="K3" s="31" t="s">
        <v>1082</v>
      </c>
      <c r="L3" s="15" t="s">
        <v>1083</v>
      </c>
      <c r="M3" t="s">
        <v>1084</v>
      </c>
      <c r="N3" t="s">
        <v>49</v>
      </c>
      <c r="O3" t="s">
        <v>1085</v>
      </c>
      <c r="P3" s="15" t="s">
        <v>51</v>
      </c>
      <c r="Q3" s="15" t="s">
        <v>1086</v>
      </c>
      <c r="R3" s="18" t="s">
        <v>1087</v>
      </c>
      <c r="S3" s="15" t="s">
        <v>1088</v>
      </c>
      <c r="T3" s="19">
        <v>96.4</v>
      </c>
      <c r="U3" s="20">
        <v>0</v>
      </c>
      <c r="V3" s="15" t="s">
        <v>1089</v>
      </c>
      <c r="W3" s="20">
        <v>0</v>
      </c>
      <c r="X3" t="s">
        <v>1090</v>
      </c>
      <c r="Y3" s="20">
        <v>2769.99</v>
      </c>
      <c r="Z3" s="20">
        <v>617.91999999999996</v>
      </c>
      <c r="AA3" s="20">
        <v>1122.76</v>
      </c>
      <c r="AB3" s="20">
        <v>1029.31</v>
      </c>
      <c r="AC3" s="20">
        <v>0</v>
      </c>
      <c r="AD3" s="21">
        <v>81</v>
      </c>
      <c r="AG3">
        <v>1</v>
      </c>
      <c r="AH3">
        <v>1</v>
      </c>
      <c r="AI3" s="15">
        <v>46072.501388888886</v>
      </c>
      <c r="AJ3" t="s">
        <v>1091</v>
      </c>
      <c r="AK3" t="s">
        <v>1092</v>
      </c>
      <c r="AL3" s="15">
        <v>46069.7190162037</v>
      </c>
      <c r="AM3" s="15" t="s">
        <v>92</v>
      </c>
      <c r="AN3" s="15" t="s">
        <v>1093</v>
      </c>
      <c r="AO3" s="15" t="s">
        <v>1094</v>
      </c>
      <c r="AP3" t="str">
        <f>IF(ISNUMBER(FIND("C",R3)),"C","V")</f>
        <v>V</v>
      </c>
    </row>
    <row r="4" spans="1:42" x14ac:dyDescent="0.25">
      <c r="A4" t="s">
        <v>1364</v>
      </c>
      <c r="B4" s="14" t="s">
        <v>1080</v>
      </c>
      <c r="C4">
        <v>4</v>
      </c>
      <c r="D4" t="s">
        <v>44</v>
      </c>
      <c r="E4" s="15" t="s">
        <v>1081</v>
      </c>
      <c r="F4">
        <v>16529</v>
      </c>
      <c r="G4" s="16">
        <v>46065</v>
      </c>
      <c r="H4" s="16">
        <v>46065.125</v>
      </c>
      <c r="I4" s="16">
        <v>46065.125</v>
      </c>
      <c r="J4" s="16">
        <v>46065.375</v>
      </c>
      <c r="K4" s="31" t="s">
        <v>1082</v>
      </c>
      <c r="L4" s="15" t="s">
        <v>1083</v>
      </c>
      <c r="M4" t="s">
        <v>1084</v>
      </c>
      <c r="N4" t="s">
        <v>49</v>
      </c>
      <c r="O4" t="s">
        <v>1095</v>
      </c>
      <c r="P4" s="15" t="s">
        <v>1086</v>
      </c>
      <c r="Q4" s="15" t="s">
        <v>648</v>
      </c>
      <c r="R4" s="18" t="s">
        <v>1096</v>
      </c>
      <c r="S4" s="15" t="s">
        <v>1097</v>
      </c>
      <c r="T4" s="19">
        <v>97.5</v>
      </c>
      <c r="U4" s="20">
        <v>0</v>
      </c>
      <c r="V4" s="15" t="s">
        <v>1098</v>
      </c>
      <c r="W4" s="20">
        <v>0</v>
      </c>
      <c r="X4" t="s">
        <v>1099</v>
      </c>
      <c r="Y4" s="20">
        <v>2797.84</v>
      </c>
      <c r="Z4" s="20">
        <v>624.98</v>
      </c>
      <c r="AA4" s="20">
        <v>1143.55</v>
      </c>
      <c r="AB4" s="20">
        <v>1029.31</v>
      </c>
      <c r="AC4" s="20">
        <v>0</v>
      </c>
      <c r="AD4" s="21">
        <v>159</v>
      </c>
      <c r="AG4">
        <v>1</v>
      </c>
      <c r="AH4">
        <v>1</v>
      </c>
      <c r="AI4" s="15">
        <v>46072.499305555553</v>
      </c>
      <c r="AJ4" t="s">
        <v>1091</v>
      </c>
      <c r="AK4" t="s">
        <v>1092</v>
      </c>
      <c r="AL4" s="15">
        <v>46065.473854166667</v>
      </c>
      <c r="AM4" s="15" t="s">
        <v>140</v>
      </c>
      <c r="AN4" s="15" t="s">
        <v>1100</v>
      </c>
      <c r="AO4" s="15" t="s">
        <v>1101</v>
      </c>
      <c r="AP4" t="str">
        <f t="shared" ref="AP4:AP60" si="0">IF(ISNUMBER(FIND("C",R4)),"C","V")</f>
        <v>C</v>
      </c>
    </row>
    <row r="5" spans="1:42" x14ac:dyDescent="0.25">
      <c r="A5" t="s">
        <v>1364</v>
      </c>
      <c r="B5" s="14" t="s">
        <v>1080</v>
      </c>
      <c r="C5">
        <v>3</v>
      </c>
      <c r="D5" t="s">
        <v>451</v>
      </c>
      <c r="E5" s="15" t="s">
        <v>1102</v>
      </c>
      <c r="F5">
        <v>17361</v>
      </c>
      <c r="G5" s="16">
        <v>46067</v>
      </c>
      <c r="H5" s="16">
        <v>46067</v>
      </c>
      <c r="I5" s="16">
        <v>46067</v>
      </c>
      <c r="J5" s="16">
        <v>46067</v>
      </c>
      <c r="K5" s="31" t="s">
        <v>1103</v>
      </c>
      <c r="L5" s="15" t="s">
        <v>1104</v>
      </c>
      <c r="M5" t="s">
        <v>1105</v>
      </c>
      <c r="N5" t="s">
        <v>49</v>
      </c>
      <c r="O5" t="s">
        <v>1095</v>
      </c>
      <c r="P5" s="15" t="s">
        <v>1086</v>
      </c>
      <c r="Q5" s="15" t="s">
        <v>648</v>
      </c>
      <c r="R5" s="18" t="s">
        <v>1106</v>
      </c>
      <c r="S5" s="15" t="s">
        <v>1107</v>
      </c>
      <c r="T5" s="19">
        <v>97.5</v>
      </c>
      <c r="U5" s="20">
        <v>0</v>
      </c>
      <c r="V5" s="15" t="s">
        <v>1108</v>
      </c>
      <c r="W5" s="20">
        <v>0</v>
      </c>
      <c r="X5" t="s">
        <v>1109</v>
      </c>
      <c r="Y5" s="20">
        <v>2797.77</v>
      </c>
      <c r="Z5" s="20">
        <v>624.98</v>
      </c>
      <c r="AA5" s="20">
        <v>1143.48</v>
      </c>
      <c r="AB5" s="20">
        <v>1029.31</v>
      </c>
      <c r="AC5" s="20">
        <v>0</v>
      </c>
      <c r="AD5" s="21"/>
      <c r="AG5">
        <v>1</v>
      </c>
      <c r="AH5">
        <v>1</v>
      </c>
      <c r="AI5" s="15">
        <v>46076.445833333331</v>
      </c>
      <c r="AJ5" t="s">
        <v>83</v>
      </c>
      <c r="AK5" t="s">
        <v>1110</v>
      </c>
      <c r="AL5" s="15">
        <v>46069.898622685185</v>
      </c>
      <c r="AM5" s="15" t="s">
        <v>56</v>
      </c>
      <c r="AN5" s="15" t="s">
        <v>1111</v>
      </c>
      <c r="AO5" s="15" t="s">
        <v>1112</v>
      </c>
      <c r="AP5" t="str">
        <f t="shared" si="0"/>
        <v>C</v>
      </c>
    </row>
    <row r="6" spans="1:42" x14ac:dyDescent="0.25">
      <c r="A6" t="s">
        <v>1364</v>
      </c>
      <c r="B6" s="14" t="s">
        <v>1080</v>
      </c>
      <c r="C6">
        <v>3</v>
      </c>
      <c r="D6" t="s">
        <v>451</v>
      </c>
      <c r="E6" s="15" t="s">
        <v>1102</v>
      </c>
      <c r="F6">
        <v>17362</v>
      </c>
      <c r="G6" s="16">
        <v>46067</v>
      </c>
      <c r="H6" s="16">
        <v>46067</v>
      </c>
      <c r="I6" s="16">
        <v>46067</v>
      </c>
      <c r="J6" s="16">
        <v>46067</v>
      </c>
      <c r="K6" s="31" t="s">
        <v>1103</v>
      </c>
      <c r="L6" s="15" t="s">
        <v>1104</v>
      </c>
      <c r="M6" t="s">
        <v>1105</v>
      </c>
      <c r="N6" t="s">
        <v>49</v>
      </c>
      <c r="O6" t="s">
        <v>1085</v>
      </c>
      <c r="P6" s="15" t="s">
        <v>51</v>
      </c>
      <c r="Q6" s="15" t="s">
        <v>1086</v>
      </c>
      <c r="R6" s="18" t="s">
        <v>1113</v>
      </c>
      <c r="S6" s="15" t="s">
        <v>1114</v>
      </c>
      <c r="T6" s="19">
        <v>96.4</v>
      </c>
      <c r="U6" s="20">
        <v>0</v>
      </c>
      <c r="V6" s="15" t="s">
        <v>58</v>
      </c>
      <c r="W6" s="20">
        <v>0</v>
      </c>
      <c r="X6" t="s">
        <v>1115</v>
      </c>
      <c r="Y6" s="20">
        <v>2770.15</v>
      </c>
      <c r="Z6" s="20">
        <v>617.91999999999996</v>
      </c>
      <c r="AA6" s="20">
        <v>1122.92</v>
      </c>
      <c r="AB6" s="20">
        <v>1029.31</v>
      </c>
      <c r="AC6" s="20">
        <v>0</v>
      </c>
      <c r="AD6" s="21"/>
      <c r="AG6">
        <v>1</v>
      </c>
      <c r="AH6">
        <v>1</v>
      </c>
      <c r="AI6" s="15">
        <v>46076.720833333333</v>
      </c>
      <c r="AJ6" t="s">
        <v>83</v>
      </c>
      <c r="AK6" t="s">
        <v>1110</v>
      </c>
      <c r="AL6" s="15">
        <v>46072.089502314811</v>
      </c>
      <c r="AM6" s="15" t="s">
        <v>56</v>
      </c>
      <c r="AN6" s="15" t="s">
        <v>58</v>
      </c>
      <c r="AO6" s="15" t="s">
        <v>58</v>
      </c>
      <c r="AP6" t="str">
        <f t="shared" si="0"/>
        <v>V</v>
      </c>
    </row>
    <row r="7" spans="1:42" x14ac:dyDescent="0.25">
      <c r="A7" t="s">
        <v>1365</v>
      </c>
      <c r="B7" s="14" t="s">
        <v>1080</v>
      </c>
      <c r="C7">
        <v>4</v>
      </c>
      <c r="D7" t="s">
        <v>44</v>
      </c>
      <c r="E7" s="15" t="s">
        <v>1102</v>
      </c>
      <c r="F7">
        <v>17403</v>
      </c>
      <c r="G7" s="16">
        <v>46067</v>
      </c>
      <c r="H7" s="16">
        <v>46067</v>
      </c>
      <c r="I7" s="16">
        <v>46067</v>
      </c>
      <c r="J7" s="16">
        <v>46067</v>
      </c>
      <c r="K7" s="31" t="s">
        <v>1116</v>
      </c>
      <c r="L7" s="15" t="s">
        <v>1117</v>
      </c>
      <c r="M7" t="s">
        <v>1118</v>
      </c>
      <c r="N7" t="s">
        <v>49</v>
      </c>
      <c r="O7" t="s">
        <v>1085</v>
      </c>
      <c r="P7" s="15" t="s">
        <v>51</v>
      </c>
      <c r="Q7" s="15" t="s">
        <v>1086</v>
      </c>
      <c r="R7" s="18" t="s">
        <v>1119</v>
      </c>
      <c r="S7" s="15" t="s">
        <v>1120</v>
      </c>
      <c r="T7" s="19">
        <v>96.4</v>
      </c>
      <c r="U7" s="20">
        <v>0</v>
      </c>
      <c r="V7" s="15" t="s">
        <v>58</v>
      </c>
      <c r="W7" s="20">
        <v>0</v>
      </c>
      <c r="X7" t="s">
        <v>1121</v>
      </c>
      <c r="Y7" s="20">
        <v>2770.15</v>
      </c>
      <c r="Z7" s="20">
        <v>617.91999999999996</v>
      </c>
      <c r="AA7" s="20">
        <v>1122.92</v>
      </c>
      <c r="AB7" s="20">
        <v>1029.31</v>
      </c>
      <c r="AC7" s="20">
        <v>0</v>
      </c>
      <c r="AD7" s="21">
        <v>86</v>
      </c>
      <c r="AG7">
        <v>1</v>
      </c>
      <c r="AH7">
        <v>1</v>
      </c>
      <c r="AI7" s="15">
        <v>46076.720138888886</v>
      </c>
      <c r="AJ7" t="s">
        <v>83</v>
      </c>
      <c r="AK7" t="s">
        <v>1122</v>
      </c>
      <c r="AL7" s="15">
        <v>46072.090196759258</v>
      </c>
      <c r="AM7" s="15" t="s">
        <v>56</v>
      </c>
      <c r="AN7" s="15" t="s">
        <v>58</v>
      </c>
      <c r="AO7" s="15" t="s">
        <v>58</v>
      </c>
      <c r="AP7" t="str">
        <f t="shared" si="0"/>
        <v>V</v>
      </c>
    </row>
    <row r="8" spans="1:42" x14ac:dyDescent="0.25">
      <c r="A8" t="s">
        <v>1365</v>
      </c>
      <c r="B8" s="14" t="s">
        <v>1080</v>
      </c>
      <c r="C8">
        <v>4</v>
      </c>
      <c r="D8" t="s">
        <v>44</v>
      </c>
      <c r="E8" s="15" t="s">
        <v>1102</v>
      </c>
      <c r="F8">
        <v>17401</v>
      </c>
      <c r="G8" s="16">
        <v>46067</v>
      </c>
      <c r="H8" s="16">
        <v>46067.125</v>
      </c>
      <c r="I8" s="16">
        <v>46067.125</v>
      </c>
      <c r="J8" s="16">
        <v>46067.375</v>
      </c>
      <c r="K8" s="31" t="s">
        <v>1116</v>
      </c>
      <c r="L8" s="15" t="s">
        <v>1117</v>
      </c>
      <c r="M8" t="s">
        <v>1118</v>
      </c>
      <c r="N8" t="s">
        <v>49</v>
      </c>
      <c r="O8" t="s">
        <v>1095</v>
      </c>
      <c r="P8" s="15" t="s">
        <v>1086</v>
      </c>
      <c r="Q8" s="15" t="s">
        <v>648</v>
      </c>
      <c r="R8" s="18" t="s">
        <v>1123</v>
      </c>
      <c r="S8" s="15" t="s">
        <v>1124</v>
      </c>
      <c r="T8" s="19">
        <v>97.5</v>
      </c>
      <c r="U8" s="20">
        <v>0</v>
      </c>
      <c r="V8" s="15" t="s">
        <v>1125</v>
      </c>
      <c r="W8" s="20">
        <v>0</v>
      </c>
      <c r="X8" t="s">
        <v>1126</v>
      </c>
      <c r="Y8" s="20">
        <v>2797.77</v>
      </c>
      <c r="Z8" s="20">
        <v>624.98</v>
      </c>
      <c r="AA8" s="20">
        <v>1143.48</v>
      </c>
      <c r="AB8" s="20">
        <v>1029.31</v>
      </c>
      <c r="AC8" s="20">
        <v>0</v>
      </c>
      <c r="AD8" s="21">
        <v>135</v>
      </c>
      <c r="AG8">
        <v>1</v>
      </c>
      <c r="AH8">
        <v>1</v>
      </c>
      <c r="AI8" s="15">
        <v>46076.436805555553</v>
      </c>
      <c r="AJ8" t="s">
        <v>83</v>
      </c>
      <c r="AK8" t="s">
        <v>1122</v>
      </c>
      <c r="AL8" s="15">
        <v>46067.659479166665</v>
      </c>
      <c r="AM8" s="15" t="s">
        <v>92</v>
      </c>
      <c r="AN8" s="15" t="s">
        <v>730</v>
      </c>
      <c r="AO8" s="15" t="s">
        <v>1127</v>
      </c>
      <c r="AP8" t="str">
        <f t="shared" si="0"/>
        <v>C</v>
      </c>
    </row>
    <row r="9" spans="1:42" x14ac:dyDescent="0.25">
      <c r="A9" t="s">
        <v>1365</v>
      </c>
      <c r="B9" s="14" t="s">
        <v>1080</v>
      </c>
      <c r="C9">
        <v>4</v>
      </c>
      <c r="D9" t="s">
        <v>44</v>
      </c>
      <c r="E9" s="15" t="s">
        <v>1102</v>
      </c>
      <c r="F9">
        <v>17746</v>
      </c>
      <c r="G9" s="16">
        <v>46068</v>
      </c>
      <c r="H9" s="16">
        <v>46068</v>
      </c>
      <c r="I9" s="16">
        <v>46068</v>
      </c>
      <c r="J9" s="16">
        <v>46068</v>
      </c>
      <c r="K9" s="31" t="s">
        <v>1128</v>
      </c>
      <c r="L9" s="15" t="s">
        <v>1129</v>
      </c>
      <c r="M9" t="s">
        <v>1130</v>
      </c>
      <c r="N9" t="s">
        <v>49</v>
      </c>
      <c r="O9" t="s">
        <v>1085</v>
      </c>
      <c r="P9" s="15" t="s">
        <v>51</v>
      </c>
      <c r="Q9" s="15" t="s">
        <v>1086</v>
      </c>
      <c r="R9" s="18" t="s">
        <v>1131</v>
      </c>
      <c r="S9" s="15" t="s">
        <v>1132</v>
      </c>
      <c r="T9" s="19">
        <v>96.4</v>
      </c>
      <c r="U9" s="20">
        <v>0</v>
      </c>
      <c r="V9" s="15" t="s">
        <v>58</v>
      </c>
      <c r="W9" s="20">
        <v>0</v>
      </c>
      <c r="X9" t="s">
        <v>1133</v>
      </c>
      <c r="Y9" s="20">
        <v>2770.08</v>
      </c>
      <c r="Z9" s="20">
        <v>617.91999999999996</v>
      </c>
      <c r="AA9" s="20">
        <v>1122.8499999999999</v>
      </c>
      <c r="AB9" s="20">
        <v>1029.31</v>
      </c>
      <c r="AC9" s="20">
        <v>0</v>
      </c>
      <c r="AD9" s="21"/>
      <c r="AG9">
        <v>0</v>
      </c>
      <c r="AH9">
        <v>0</v>
      </c>
      <c r="AI9" s="15">
        <v>46071.707638888889</v>
      </c>
      <c r="AJ9" t="s">
        <v>557</v>
      </c>
      <c r="AK9" t="s">
        <v>557</v>
      </c>
      <c r="AL9" s="15">
        <v>46072.099456018521</v>
      </c>
      <c r="AM9" s="15" t="s">
        <v>56</v>
      </c>
      <c r="AN9" s="15" t="s">
        <v>58</v>
      </c>
      <c r="AO9" s="15" t="s">
        <v>58</v>
      </c>
      <c r="AP9" t="str">
        <f t="shared" si="0"/>
        <v>V</v>
      </c>
    </row>
    <row r="10" spans="1:42" x14ac:dyDescent="0.25">
      <c r="A10" t="s">
        <v>1365</v>
      </c>
      <c r="B10" s="14" t="s">
        <v>1080</v>
      </c>
      <c r="C10">
        <v>4</v>
      </c>
      <c r="D10" t="s">
        <v>44</v>
      </c>
      <c r="E10" s="15" t="s">
        <v>1102</v>
      </c>
      <c r="F10">
        <v>17785</v>
      </c>
      <c r="G10" s="16">
        <v>46068</v>
      </c>
      <c r="H10" s="16">
        <v>46068</v>
      </c>
      <c r="I10" s="16">
        <v>46068</v>
      </c>
      <c r="J10" s="16">
        <v>46068</v>
      </c>
      <c r="K10" s="31" t="s">
        <v>1134</v>
      </c>
      <c r="L10" s="15" t="s">
        <v>1135</v>
      </c>
      <c r="M10" t="s">
        <v>1136</v>
      </c>
      <c r="N10" t="s">
        <v>49</v>
      </c>
      <c r="O10" t="s">
        <v>1085</v>
      </c>
      <c r="P10" s="15" t="s">
        <v>51</v>
      </c>
      <c r="Q10" s="15" t="s">
        <v>1086</v>
      </c>
      <c r="R10" s="18" t="s">
        <v>1137</v>
      </c>
      <c r="S10" s="15" t="s">
        <v>1138</v>
      </c>
      <c r="T10" s="19">
        <v>96.4</v>
      </c>
      <c r="U10" s="20">
        <v>0</v>
      </c>
      <c r="V10" s="15" t="s">
        <v>58</v>
      </c>
      <c r="W10" s="20">
        <v>0</v>
      </c>
      <c r="X10" t="s">
        <v>1139</v>
      </c>
      <c r="Y10" s="20">
        <v>2770.08</v>
      </c>
      <c r="Z10" s="20">
        <v>617.91999999999996</v>
      </c>
      <c r="AA10" s="20">
        <v>1122.8499999999999</v>
      </c>
      <c r="AB10" s="20">
        <v>1029.31</v>
      </c>
      <c r="AC10" s="20">
        <v>0</v>
      </c>
      <c r="AD10" s="21"/>
      <c r="AG10">
        <v>1</v>
      </c>
      <c r="AH10">
        <v>1</v>
      </c>
      <c r="AI10" s="15">
        <v>46077.70416666667</v>
      </c>
      <c r="AJ10" t="s">
        <v>83</v>
      </c>
      <c r="AK10" t="s">
        <v>1140</v>
      </c>
      <c r="AL10" s="15">
        <v>46072.101307870369</v>
      </c>
      <c r="AM10" s="15" t="s">
        <v>56</v>
      </c>
      <c r="AN10" s="15" t="s">
        <v>58</v>
      </c>
      <c r="AO10" s="15" t="s">
        <v>58</v>
      </c>
      <c r="AP10" t="str">
        <f t="shared" si="0"/>
        <v>V</v>
      </c>
    </row>
    <row r="11" spans="1:42" x14ac:dyDescent="0.25">
      <c r="A11" t="s">
        <v>1364</v>
      </c>
      <c r="B11" s="14" t="s">
        <v>1080</v>
      </c>
      <c r="C11">
        <v>4</v>
      </c>
      <c r="D11" t="s">
        <v>44</v>
      </c>
      <c r="E11" s="15" t="s">
        <v>1102</v>
      </c>
      <c r="F11">
        <v>17797</v>
      </c>
      <c r="G11" s="16">
        <v>46068</v>
      </c>
      <c r="H11" s="16">
        <v>46068</v>
      </c>
      <c r="I11" s="16">
        <v>46068</v>
      </c>
      <c r="J11" s="16">
        <v>46068</v>
      </c>
      <c r="K11" s="31" t="s">
        <v>1082</v>
      </c>
      <c r="L11" s="15" t="s">
        <v>1083</v>
      </c>
      <c r="M11" t="s">
        <v>1084</v>
      </c>
      <c r="N11" t="s">
        <v>49</v>
      </c>
      <c r="O11" t="s">
        <v>1085</v>
      </c>
      <c r="P11" s="15" t="s">
        <v>51</v>
      </c>
      <c r="Q11" s="15" t="s">
        <v>1086</v>
      </c>
      <c r="R11" s="18" t="s">
        <v>1141</v>
      </c>
      <c r="S11" s="15" t="s">
        <v>1142</v>
      </c>
      <c r="T11" s="19">
        <v>96.4</v>
      </c>
      <c r="U11" s="20">
        <v>0</v>
      </c>
      <c r="V11" s="15" t="s">
        <v>58</v>
      </c>
      <c r="W11" s="20">
        <v>0</v>
      </c>
      <c r="X11" t="s">
        <v>1143</v>
      </c>
      <c r="Y11" s="20">
        <v>2770.08</v>
      </c>
      <c r="Z11" s="20">
        <v>617.91999999999996</v>
      </c>
      <c r="AA11" s="20">
        <v>1122.8499999999999</v>
      </c>
      <c r="AB11" s="20">
        <v>1029.31</v>
      </c>
      <c r="AC11" s="20">
        <v>0</v>
      </c>
      <c r="AD11" s="21">
        <v>81</v>
      </c>
      <c r="AG11">
        <v>1</v>
      </c>
      <c r="AH11">
        <v>1</v>
      </c>
      <c r="AI11" s="15">
        <v>46077.705555555556</v>
      </c>
      <c r="AJ11" t="s">
        <v>83</v>
      </c>
      <c r="AK11" t="s">
        <v>1092</v>
      </c>
      <c r="AL11" s="15">
        <v>46072.100844907407</v>
      </c>
      <c r="AM11" s="15" t="s">
        <v>56</v>
      </c>
      <c r="AN11" s="15" t="s">
        <v>58</v>
      </c>
      <c r="AO11" s="15" t="s">
        <v>58</v>
      </c>
      <c r="AP11" t="str">
        <f t="shared" si="0"/>
        <v>V</v>
      </c>
    </row>
    <row r="12" spans="1:42" x14ac:dyDescent="0.25">
      <c r="A12" t="s">
        <v>1365</v>
      </c>
      <c r="B12" s="14" t="s">
        <v>1080</v>
      </c>
      <c r="C12">
        <v>4</v>
      </c>
      <c r="D12" t="s">
        <v>44</v>
      </c>
      <c r="E12" s="15" t="s">
        <v>1102</v>
      </c>
      <c r="F12">
        <v>17825</v>
      </c>
      <c r="G12" s="16">
        <v>46068</v>
      </c>
      <c r="H12" s="16">
        <v>46068</v>
      </c>
      <c r="I12" s="16">
        <v>46068</v>
      </c>
      <c r="J12" s="16">
        <v>46068</v>
      </c>
      <c r="K12" s="31" t="s">
        <v>1144</v>
      </c>
      <c r="L12" s="15" t="s">
        <v>1145</v>
      </c>
      <c r="M12" t="s">
        <v>1146</v>
      </c>
      <c r="N12" t="s">
        <v>49</v>
      </c>
      <c r="O12" t="s">
        <v>1085</v>
      </c>
      <c r="P12" s="15" t="s">
        <v>51</v>
      </c>
      <c r="Q12" s="15" t="s">
        <v>1086</v>
      </c>
      <c r="R12" s="18" t="s">
        <v>1147</v>
      </c>
      <c r="S12" s="15" t="s">
        <v>1148</v>
      </c>
      <c r="T12" s="19">
        <v>96.4</v>
      </c>
      <c r="U12" s="20">
        <v>0</v>
      </c>
      <c r="V12" s="15" t="s">
        <v>58</v>
      </c>
      <c r="W12" s="20">
        <v>0</v>
      </c>
      <c r="X12" t="s">
        <v>1149</v>
      </c>
      <c r="Y12" s="20">
        <v>2770.08</v>
      </c>
      <c r="Z12" s="20">
        <v>617.91999999999996</v>
      </c>
      <c r="AA12" s="20">
        <v>1122.8499999999999</v>
      </c>
      <c r="AB12" s="20">
        <v>1029.31</v>
      </c>
      <c r="AC12" s="20">
        <v>0</v>
      </c>
      <c r="AD12" s="21"/>
      <c r="AG12">
        <v>1</v>
      </c>
      <c r="AH12">
        <v>1</v>
      </c>
      <c r="AI12" s="15">
        <v>46077.702777777777</v>
      </c>
      <c r="AJ12" t="s">
        <v>83</v>
      </c>
      <c r="AK12" t="s">
        <v>1150</v>
      </c>
      <c r="AL12" s="15">
        <v>46072.101898148147</v>
      </c>
      <c r="AM12" s="15" t="s">
        <v>56</v>
      </c>
      <c r="AN12" s="15" t="s">
        <v>58</v>
      </c>
      <c r="AO12" s="15" t="s">
        <v>594</v>
      </c>
      <c r="AP12" t="str">
        <f t="shared" si="0"/>
        <v>V</v>
      </c>
    </row>
    <row r="13" spans="1:42" x14ac:dyDescent="0.25">
      <c r="A13" t="s">
        <v>1365</v>
      </c>
      <c r="B13" s="14" t="s">
        <v>1080</v>
      </c>
      <c r="C13">
        <v>4</v>
      </c>
      <c r="D13" t="s">
        <v>44</v>
      </c>
      <c r="E13" s="15" t="s">
        <v>1081</v>
      </c>
      <c r="F13">
        <v>17968</v>
      </c>
      <c r="G13" s="16">
        <v>46068</v>
      </c>
      <c r="H13" s="16">
        <v>46068</v>
      </c>
      <c r="I13" s="16">
        <v>46068</v>
      </c>
      <c r="J13" s="16">
        <v>46068</v>
      </c>
      <c r="K13" s="31" t="s">
        <v>1116</v>
      </c>
      <c r="L13" s="15" t="s">
        <v>1117</v>
      </c>
      <c r="M13" t="s">
        <v>1118</v>
      </c>
      <c r="N13" t="s">
        <v>49</v>
      </c>
      <c r="O13" t="s">
        <v>1085</v>
      </c>
      <c r="P13" s="15" t="s">
        <v>51</v>
      </c>
      <c r="Q13" s="15" t="s">
        <v>1086</v>
      </c>
      <c r="R13" s="18" t="s">
        <v>1151</v>
      </c>
      <c r="S13" s="15" t="s">
        <v>1152</v>
      </c>
      <c r="T13" s="19">
        <v>96.4</v>
      </c>
      <c r="U13" s="20">
        <v>0</v>
      </c>
      <c r="V13" s="15" t="s">
        <v>58</v>
      </c>
      <c r="W13" s="20">
        <v>0</v>
      </c>
      <c r="X13" t="s">
        <v>1153</v>
      </c>
      <c r="Y13" s="20">
        <v>2770.08</v>
      </c>
      <c r="Z13" s="20">
        <v>617.91999999999996</v>
      </c>
      <c r="AA13" s="20">
        <v>1122.8499999999999</v>
      </c>
      <c r="AB13" s="20">
        <v>1029.31</v>
      </c>
      <c r="AC13" s="20">
        <v>0</v>
      </c>
      <c r="AD13" s="21">
        <v>90</v>
      </c>
      <c r="AG13">
        <v>1</v>
      </c>
      <c r="AH13">
        <v>1</v>
      </c>
      <c r="AI13" s="15">
        <v>46076.7</v>
      </c>
      <c r="AJ13" t="s">
        <v>83</v>
      </c>
      <c r="AK13" t="s">
        <v>1122</v>
      </c>
      <c r="AL13" s="15">
        <v>46072.103101851855</v>
      </c>
      <c r="AM13" s="15" t="s">
        <v>56</v>
      </c>
      <c r="AN13" s="15" t="s">
        <v>58</v>
      </c>
      <c r="AO13" s="15" t="s">
        <v>58</v>
      </c>
      <c r="AP13" t="str">
        <f t="shared" si="0"/>
        <v>V</v>
      </c>
    </row>
    <row r="14" spans="1:42" x14ac:dyDescent="0.25">
      <c r="A14" t="s">
        <v>1365</v>
      </c>
      <c r="B14" s="14" t="s">
        <v>1080</v>
      </c>
      <c r="C14">
        <v>4</v>
      </c>
      <c r="D14" t="s">
        <v>44</v>
      </c>
      <c r="E14" s="15" t="s">
        <v>1081</v>
      </c>
      <c r="F14">
        <v>17970</v>
      </c>
      <c r="G14" s="16">
        <v>46068</v>
      </c>
      <c r="H14" s="16">
        <v>46068</v>
      </c>
      <c r="I14" s="16">
        <v>46068</v>
      </c>
      <c r="J14" s="16">
        <v>46068</v>
      </c>
      <c r="K14" s="31" t="s">
        <v>1154</v>
      </c>
      <c r="L14" s="15" t="s">
        <v>1155</v>
      </c>
      <c r="M14" t="s">
        <v>1156</v>
      </c>
      <c r="N14" t="s">
        <v>49</v>
      </c>
      <c r="O14" t="s">
        <v>1085</v>
      </c>
      <c r="P14" s="15" t="s">
        <v>51</v>
      </c>
      <c r="Q14" s="15" t="s">
        <v>1086</v>
      </c>
      <c r="R14" s="18" t="s">
        <v>1157</v>
      </c>
      <c r="S14" s="15" t="s">
        <v>1158</v>
      </c>
      <c r="T14" s="19">
        <v>96.4</v>
      </c>
      <c r="U14" s="20">
        <v>0</v>
      </c>
      <c r="V14" s="15" t="s">
        <v>58</v>
      </c>
      <c r="W14" s="20">
        <v>0</v>
      </c>
      <c r="X14" t="s">
        <v>1159</v>
      </c>
      <c r="Y14" s="20">
        <v>2770.08</v>
      </c>
      <c r="Z14" s="20">
        <v>617.91999999999996</v>
      </c>
      <c r="AA14" s="20">
        <v>1122.8499999999999</v>
      </c>
      <c r="AB14" s="20">
        <v>1029.31</v>
      </c>
      <c r="AC14" s="20">
        <v>0</v>
      </c>
      <c r="AD14" s="21">
        <v>84</v>
      </c>
      <c r="AG14">
        <v>1</v>
      </c>
      <c r="AH14">
        <v>1</v>
      </c>
      <c r="AI14" s="15">
        <v>46076.7</v>
      </c>
      <c r="AJ14" t="s">
        <v>83</v>
      </c>
      <c r="AK14" t="s">
        <v>1160</v>
      </c>
      <c r="AL14" s="15">
        <v>46072.102951388886</v>
      </c>
      <c r="AM14" s="15" t="s">
        <v>56</v>
      </c>
      <c r="AN14" s="15" t="s">
        <v>58</v>
      </c>
      <c r="AO14" s="15" t="s">
        <v>58</v>
      </c>
      <c r="AP14" t="str">
        <f t="shared" si="0"/>
        <v>V</v>
      </c>
    </row>
    <row r="15" spans="1:42" x14ac:dyDescent="0.25">
      <c r="A15" t="s">
        <v>1366</v>
      </c>
      <c r="B15" s="14" t="s">
        <v>1080</v>
      </c>
      <c r="C15">
        <v>3</v>
      </c>
      <c r="D15" t="s">
        <v>451</v>
      </c>
      <c r="E15" s="15" t="s">
        <v>1081</v>
      </c>
      <c r="F15">
        <v>17972</v>
      </c>
      <c r="G15" s="16">
        <v>46068</v>
      </c>
      <c r="H15" s="16">
        <v>46068</v>
      </c>
      <c r="I15" s="16">
        <v>46068</v>
      </c>
      <c r="J15" s="16">
        <v>46068</v>
      </c>
      <c r="K15" s="31" t="s">
        <v>1161</v>
      </c>
      <c r="L15" s="15" t="s">
        <v>1162</v>
      </c>
      <c r="M15" t="s">
        <v>1163</v>
      </c>
      <c r="N15" t="s">
        <v>49</v>
      </c>
      <c r="O15" t="s">
        <v>1085</v>
      </c>
      <c r="P15" s="15" t="s">
        <v>51</v>
      </c>
      <c r="Q15" s="15" t="s">
        <v>1086</v>
      </c>
      <c r="R15" s="18" t="s">
        <v>1164</v>
      </c>
      <c r="S15" s="15" t="s">
        <v>1165</v>
      </c>
      <c r="T15" s="19">
        <v>96.4</v>
      </c>
      <c r="U15" s="20">
        <v>0</v>
      </c>
      <c r="V15" s="15" t="s">
        <v>58</v>
      </c>
      <c r="W15" s="20">
        <v>0</v>
      </c>
      <c r="X15" t="s">
        <v>1166</v>
      </c>
      <c r="Y15" s="20">
        <v>2770.08</v>
      </c>
      <c r="Z15" s="20">
        <v>617.91999999999996</v>
      </c>
      <c r="AA15" s="20">
        <v>1122.8499999999999</v>
      </c>
      <c r="AB15" s="20">
        <v>1029.31</v>
      </c>
      <c r="AC15" s="20">
        <v>0</v>
      </c>
      <c r="AD15" s="21">
        <v>41</v>
      </c>
      <c r="AG15">
        <v>1</v>
      </c>
      <c r="AH15">
        <v>1</v>
      </c>
      <c r="AI15" s="15">
        <v>46076.7</v>
      </c>
      <c r="AJ15" t="s">
        <v>83</v>
      </c>
      <c r="AK15" t="s">
        <v>1167</v>
      </c>
      <c r="AL15" s="15">
        <v>46072.102824074071</v>
      </c>
      <c r="AM15" s="15" t="s">
        <v>56</v>
      </c>
      <c r="AN15" s="15" t="s">
        <v>594</v>
      </c>
      <c r="AO15" s="15" t="s">
        <v>594</v>
      </c>
      <c r="AP15" t="str">
        <f t="shared" si="0"/>
        <v>V</v>
      </c>
    </row>
    <row r="16" spans="1:42" x14ac:dyDescent="0.25">
      <c r="A16" t="s">
        <v>1365</v>
      </c>
      <c r="B16" s="14" t="s">
        <v>1080</v>
      </c>
      <c r="C16">
        <v>4</v>
      </c>
      <c r="D16" t="s">
        <v>44</v>
      </c>
      <c r="E16" s="15" t="s">
        <v>1102</v>
      </c>
      <c r="F16">
        <v>17745</v>
      </c>
      <c r="G16" s="16">
        <v>46068</v>
      </c>
      <c r="H16" s="16">
        <v>46068.125</v>
      </c>
      <c r="I16" s="16">
        <v>46068.125</v>
      </c>
      <c r="J16" s="16">
        <v>46068.375</v>
      </c>
      <c r="K16" s="31" t="s">
        <v>1128</v>
      </c>
      <c r="L16" s="15" t="s">
        <v>1129</v>
      </c>
      <c r="M16" t="s">
        <v>1130</v>
      </c>
      <c r="N16" t="s">
        <v>49</v>
      </c>
      <c r="O16" t="s">
        <v>1095</v>
      </c>
      <c r="P16" s="15" t="s">
        <v>1086</v>
      </c>
      <c r="Q16" s="15" t="s">
        <v>648</v>
      </c>
      <c r="R16" s="18" t="s">
        <v>1168</v>
      </c>
      <c r="S16" s="15" t="s">
        <v>1169</v>
      </c>
      <c r="T16" s="19">
        <v>97.5</v>
      </c>
      <c r="U16" s="20">
        <v>0</v>
      </c>
      <c r="V16" s="15" t="s">
        <v>1170</v>
      </c>
      <c r="W16" s="20">
        <v>0</v>
      </c>
      <c r="X16" t="s">
        <v>1171</v>
      </c>
      <c r="Y16" s="20">
        <v>2797.82</v>
      </c>
      <c r="Z16" s="20">
        <v>624.98</v>
      </c>
      <c r="AA16" s="20">
        <v>1143.53</v>
      </c>
      <c r="AB16" s="20">
        <v>1029.31</v>
      </c>
      <c r="AC16" s="20">
        <v>0</v>
      </c>
      <c r="AD16" s="21"/>
      <c r="AG16">
        <v>0</v>
      </c>
      <c r="AH16">
        <v>0</v>
      </c>
      <c r="AI16" s="15"/>
      <c r="AL16" s="15">
        <v>46068.42564814815</v>
      </c>
      <c r="AM16" s="15" t="s">
        <v>56</v>
      </c>
      <c r="AN16" s="15" t="s">
        <v>1172</v>
      </c>
      <c r="AO16" s="15" t="s">
        <v>1173</v>
      </c>
      <c r="AP16" t="str">
        <f t="shared" si="0"/>
        <v>C</v>
      </c>
    </row>
    <row r="17" spans="1:42" x14ac:dyDescent="0.25">
      <c r="A17" t="s">
        <v>1365</v>
      </c>
      <c r="B17" s="14" t="s">
        <v>1080</v>
      </c>
      <c r="C17">
        <v>4</v>
      </c>
      <c r="D17" t="s">
        <v>44</v>
      </c>
      <c r="E17" s="15" t="s">
        <v>1102</v>
      </c>
      <c r="F17">
        <v>17784</v>
      </c>
      <c r="G17" s="16">
        <v>46068</v>
      </c>
      <c r="H17" s="16">
        <v>46068.125</v>
      </c>
      <c r="I17" s="16">
        <v>46068.125</v>
      </c>
      <c r="J17" s="16">
        <v>46068.375</v>
      </c>
      <c r="K17" s="31" t="s">
        <v>1134</v>
      </c>
      <c r="L17" s="15" t="s">
        <v>1135</v>
      </c>
      <c r="M17" t="s">
        <v>1136</v>
      </c>
      <c r="N17" t="s">
        <v>49</v>
      </c>
      <c r="O17" t="s">
        <v>1095</v>
      </c>
      <c r="P17" s="15" t="s">
        <v>1086</v>
      </c>
      <c r="Q17" s="15" t="s">
        <v>648</v>
      </c>
      <c r="R17" s="18" t="s">
        <v>1174</v>
      </c>
      <c r="S17" s="15" t="s">
        <v>1175</v>
      </c>
      <c r="T17" s="19">
        <v>97.5</v>
      </c>
      <c r="U17" s="20">
        <v>0</v>
      </c>
      <c r="V17" s="15" t="s">
        <v>1176</v>
      </c>
      <c r="W17" s="20">
        <v>0</v>
      </c>
      <c r="X17" t="s">
        <v>1177</v>
      </c>
      <c r="Y17" s="20">
        <v>2797.82</v>
      </c>
      <c r="Z17" s="20">
        <v>624.98</v>
      </c>
      <c r="AA17" s="20">
        <v>1143.53</v>
      </c>
      <c r="AB17" s="20">
        <v>1029.31</v>
      </c>
      <c r="AC17" s="20">
        <v>0</v>
      </c>
      <c r="AD17" s="21"/>
      <c r="AG17">
        <v>1</v>
      </c>
      <c r="AH17">
        <v>1</v>
      </c>
      <c r="AI17" s="15">
        <v>46077.448611111111</v>
      </c>
      <c r="AJ17" t="s">
        <v>83</v>
      </c>
      <c r="AK17" t="s">
        <v>1140</v>
      </c>
      <c r="AL17" s="15">
        <v>46068.719108796293</v>
      </c>
      <c r="AM17" s="15" t="s">
        <v>56</v>
      </c>
      <c r="AN17" s="15" t="s">
        <v>1178</v>
      </c>
      <c r="AO17" s="15" t="s">
        <v>1179</v>
      </c>
      <c r="AP17" t="str">
        <f t="shared" si="0"/>
        <v>C</v>
      </c>
    </row>
    <row r="18" spans="1:42" x14ac:dyDescent="0.25">
      <c r="A18" t="s">
        <v>1364</v>
      </c>
      <c r="B18" s="14" t="s">
        <v>1080</v>
      </c>
      <c r="C18">
        <v>4</v>
      </c>
      <c r="D18" t="s">
        <v>44</v>
      </c>
      <c r="E18" s="15" t="s">
        <v>1102</v>
      </c>
      <c r="F18">
        <v>17795</v>
      </c>
      <c r="G18" s="16">
        <v>46068</v>
      </c>
      <c r="H18" s="16">
        <v>46068.125</v>
      </c>
      <c r="I18" s="16">
        <v>46068.125</v>
      </c>
      <c r="J18" s="16">
        <v>46068.375</v>
      </c>
      <c r="K18" s="31" t="s">
        <v>1082</v>
      </c>
      <c r="L18" s="15" t="s">
        <v>1083</v>
      </c>
      <c r="M18" t="s">
        <v>1084</v>
      </c>
      <c r="N18" t="s">
        <v>49</v>
      </c>
      <c r="O18" t="s">
        <v>1095</v>
      </c>
      <c r="P18" s="15" t="s">
        <v>1086</v>
      </c>
      <c r="Q18" s="15" t="s">
        <v>648</v>
      </c>
      <c r="R18" s="18" t="s">
        <v>1180</v>
      </c>
      <c r="S18" s="15" t="s">
        <v>1181</v>
      </c>
      <c r="T18" s="19">
        <v>97.5</v>
      </c>
      <c r="U18" s="20">
        <v>0</v>
      </c>
      <c r="V18" s="15" t="s">
        <v>1182</v>
      </c>
      <c r="W18" s="20">
        <v>0</v>
      </c>
      <c r="X18" t="s">
        <v>1183</v>
      </c>
      <c r="Y18" s="20">
        <v>2797.82</v>
      </c>
      <c r="Z18" s="20">
        <v>624.98</v>
      </c>
      <c r="AA18" s="20">
        <v>1143.53</v>
      </c>
      <c r="AB18" s="20">
        <v>1029.31</v>
      </c>
      <c r="AC18" s="20">
        <v>0</v>
      </c>
      <c r="AD18" s="21">
        <v>141</v>
      </c>
      <c r="AG18">
        <v>1</v>
      </c>
      <c r="AH18">
        <v>1</v>
      </c>
      <c r="AI18" s="15">
        <v>46077.441666666666</v>
      </c>
      <c r="AJ18" t="s">
        <v>83</v>
      </c>
      <c r="AK18" t="s">
        <v>1092</v>
      </c>
      <c r="AL18" s="15">
        <v>46068.66778935185</v>
      </c>
      <c r="AM18" s="15" t="s">
        <v>56</v>
      </c>
      <c r="AN18" s="15" t="s">
        <v>371</v>
      </c>
      <c r="AO18" s="15" t="s">
        <v>1184</v>
      </c>
      <c r="AP18" t="str">
        <f t="shared" si="0"/>
        <v>C</v>
      </c>
    </row>
    <row r="19" spans="1:42" x14ac:dyDescent="0.25">
      <c r="A19" t="s">
        <v>1365</v>
      </c>
      <c r="B19" s="14" t="s">
        <v>1080</v>
      </c>
      <c r="C19">
        <v>4</v>
      </c>
      <c r="D19" t="s">
        <v>44</v>
      </c>
      <c r="E19" s="15" t="s">
        <v>1102</v>
      </c>
      <c r="F19">
        <v>17824</v>
      </c>
      <c r="G19" s="16">
        <v>46068</v>
      </c>
      <c r="H19" s="16">
        <v>46068.125</v>
      </c>
      <c r="I19" s="16">
        <v>46068.125</v>
      </c>
      <c r="J19" s="16">
        <v>46068.375</v>
      </c>
      <c r="K19" s="31" t="s">
        <v>1144</v>
      </c>
      <c r="L19" s="15" t="s">
        <v>1145</v>
      </c>
      <c r="M19" t="s">
        <v>1146</v>
      </c>
      <c r="N19" t="s">
        <v>49</v>
      </c>
      <c r="O19" t="s">
        <v>1095</v>
      </c>
      <c r="P19" s="15" t="s">
        <v>1086</v>
      </c>
      <c r="Q19" s="15" t="s">
        <v>648</v>
      </c>
      <c r="R19" s="18" t="s">
        <v>1185</v>
      </c>
      <c r="S19" s="15" t="s">
        <v>1186</v>
      </c>
      <c r="T19" s="19">
        <v>97.5</v>
      </c>
      <c r="U19" s="20">
        <v>0</v>
      </c>
      <c r="V19" s="15" t="s">
        <v>1187</v>
      </c>
      <c r="W19" s="20">
        <v>0</v>
      </c>
      <c r="X19" t="s">
        <v>1188</v>
      </c>
      <c r="Y19" s="20">
        <v>2797.82</v>
      </c>
      <c r="Z19" s="20">
        <v>624.98</v>
      </c>
      <c r="AA19" s="20">
        <v>1143.53</v>
      </c>
      <c r="AB19" s="20">
        <v>1029.31</v>
      </c>
      <c r="AC19" s="20">
        <v>0</v>
      </c>
      <c r="AD19" s="21"/>
      <c r="AG19">
        <v>1</v>
      </c>
      <c r="AH19">
        <v>1</v>
      </c>
      <c r="AI19" s="15">
        <v>46077.443749999999</v>
      </c>
      <c r="AJ19" t="s">
        <v>83</v>
      </c>
      <c r="AK19" t="s">
        <v>1150</v>
      </c>
      <c r="AL19" s="15">
        <v>46068.867638888885</v>
      </c>
      <c r="AM19" s="15" t="s">
        <v>92</v>
      </c>
      <c r="AN19" s="15" t="s">
        <v>1189</v>
      </c>
      <c r="AO19" s="15" t="s">
        <v>1190</v>
      </c>
      <c r="AP19" t="str">
        <f t="shared" si="0"/>
        <v>C</v>
      </c>
    </row>
    <row r="20" spans="1:42" x14ac:dyDescent="0.25">
      <c r="A20" t="s">
        <v>1365</v>
      </c>
      <c r="B20" s="14" t="s">
        <v>1080</v>
      </c>
      <c r="C20">
        <v>4</v>
      </c>
      <c r="D20" t="s">
        <v>44</v>
      </c>
      <c r="E20" s="15" t="s">
        <v>1081</v>
      </c>
      <c r="F20">
        <v>17967</v>
      </c>
      <c r="G20" s="16">
        <v>46068</v>
      </c>
      <c r="H20" s="16">
        <v>46068.125</v>
      </c>
      <c r="I20" s="16">
        <v>46068.125</v>
      </c>
      <c r="J20" s="16">
        <v>46068.375</v>
      </c>
      <c r="K20" s="31" t="s">
        <v>1116</v>
      </c>
      <c r="L20" s="15" t="s">
        <v>1117</v>
      </c>
      <c r="M20" t="s">
        <v>1118</v>
      </c>
      <c r="N20" t="s">
        <v>49</v>
      </c>
      <c r="O20" t="s">
        <v>1095</v>
      </c>
      <c r="P20" s="15" t="s">
        <v>1086</v>
      </c>
      <c r="Q20" s="15" t="s">
        <v>648</v>
      </c>
      <c r="R20" s="18" t="s">
        <v>1191</v>
      </c>
      <c r="S20" s="15" t="s">
        <v>1192</v>
      </c>
      <c r="T20" s="19">
        <v>97.5</v>
      </c>
      <c r="U20" s="20">
        <v>0</v>
      </c>
      <c r="V20" s="15" t="s">
        <v>1193</v>
      </c>
      <c r="W20" s="20">
        <v>0</v>
      </c>
      <c r="X20" t="s">
        <v>1194</v>
      </c>
      <c r="Y20" s="20">
        <v>2797.82</v>
      </c>
      <c r="Z20" s="20">
        <v>624.98</v>
      </c>
      <c r="AA20" s="20">
        <v>1143.53</v>
      </c>
      <c r="AB20" s="20">
        <v>1029.31</v>
      </c>
      <c r="AC20" s="20">
        <v>0</v>
      </c>
      <c r="AD20" s="21">
        <v>110</v>
      </c>
      <c r="AG20">
        <v>1</v>
      </c>
      <c r="AH20">
        <v>1</v>
      </c>
      <c r="AI20" s="15">
        <v>46076.722916666666</v>
      </c>
      <c r="AJ20" t="s">
        <v>83</v>
      </c>
      <c r="AK20" t="s">
        <v>1122</v>
      </c>
      <c r="AL20" s="15">
        <v>46069.369699074072</v>
      </c>
      <c r="AM20" s="15" t="s">
        <v>85</v>
      </c>
      <c r="AN20" s="15" t="s">
        <v>997</v>
      </c>
      <c r="AO20" s="15" t="s">
        <v>354</v>
      </c>
      <c r="AP20" t="str">
        <f t="shared" si="0"/>
        <v>C</v>
      </c>
    </row>
    <row r="21" spans="1:42" x14ac:dyDescent="0.25">
      <c r="A21" t="s">
        <v>1365</v>
      </c>
      <c r="B21" s="14" t="s">
        <v>1080</v>
      </c>
      <c r="C21">
        <v>4</v>
      </c>
      <c r="D21" t="s">
        <v>44</v>
      </c>
      <c r="E21" s="15" t="s">
        <v>1081</v>
      </c>
      <c r="F21">
        <v>17969</v>
      </c>
      <c r="G21" s="16">
        <v>46068</v>
      </c>
      <c r="H21" s="16">
        <v>46068.125</v>
      </c>
      <c r="I21" s="16">
        <v>46068.125</v>
      </c>
      <c r="J21" s="16">
        <v>46068.375</v>
      </c>
      <c r="K21" s="31" t="s">
        <v>1154</v>
      </c>
      <c r="L21" s="15" t="s">
        <v>1155</v>
      </c>
      <c r="M21" t="s">
        <v>1156</v>
      </c>
      <c r="N21" t="s">
        <v>49</v>
      </c>
      <c r="O21" t="s">
        <v>1095</v>
      </c>
      <c r="P21" s="15" t="s">
        <v>1086</v>
      </c>
      <c r="Q21" s="15" t="s">
        <v>648</v>
      </c>
      <c r="R21" s="18" t="s">
        <v>1195</v>
      </c>
      <c r="S21" s="15" t="s">
        <v>1196</v>
      </c>
      <c r="T21" s="19">
        <v>97.5</v>
      </c>
      <c r="U21" s="20">
        <v>0</v>
      </c>
      <c r="V21" s="15" t="s">
        <v>1197</v>
      </c>
      <c r="W21" s="20">
        <v>0</v>
      </c>
      <c r="X21" t="s">
        <v>1198</v>
      </c>
      <c r="Y21" s="20">
        <v>2797.82</v>
      </c>
      <c r="Z21" s="20">
        <v>624.98</v>
      </c>
      <c r="AA21" s="20">
        <v>1143.53</v>
      </c>
      <c r="AB21" s="20">
        <v>1029.31</v>
      </c>
      <c r="AC21" s="20">
        <v>0</v>
      </c>
      <c r="AD21" s="21">
        <v>111</v>
      </c>
      <c r="AG21">
        <v>1</v>
      </c>
      <c r="AH21">
        <v>1</v>
      </c>
      <c r="AI21" s="15">
        <v>46076.724305555559</v>
      </c>
      <c r="AJ21" t="s">
        <v>83</v>
      </c>
      <c r="AK21" t="s">
        <v>1160</v>
      </c>
      <c r="AL21" s="15">
        <v>46069.205868055556</v>
      </c>
      <c r="AM21" s="15" t="s">
        <v>92</v>
      </c>
      <c r="AN21" s="15" t="s">
        <v>1199</v>
      </c>
      <c r="AO21" s="15" t="s">
        <v>1200</v>
      </c>
      <c r="AP21" t="str">
        <f t="shared" si="0"/>
        <v>C</v>
      </c>
    </row>
    <row r="22" spans="1:42" x14ac:dyDescent="0.25">
      <c r="A22" t="s">
        <v>1366</v>
      </c>
      <c r="B22" s="14" t="s">
        <v>1080</v>
      </c>
      <c r="C22">
        <v>4</v>
      </c>
      <c r="D22" t="s">
        <v>44</v>
      </c>
      <c r="E22" s="15" t="s">
        <v>1081</v>
      </c>
      <c r="F22">
        <v>17971</v>
      </c>
      <c r="G22" s="16">
        <v>46068</v>
      </c>
      <c r="H22" s="16">
        <v>46068.125</v>
      </c>
      <c r="I22" s="16">
        <v>46068.125</v>
      </c>
      <c r="J22" s="16">
        <v>46068.375</v>
      </c>
      <c r="K22" s="31" t="s">
        <v>1161</v>
      </c>
      <c r="L22" s="15" t="s">
        <v>1162</v>
      </c>
      <c r="M22" t="s">
        <v>1163</v>
      </c>
      <c r="N22" t="s">
        <v>49</v>
      </c>
      <c r="O22" t="s">
        <v>1095</v>
      </c>
      <c r="P22" s="15" t="s">
        <v>1086</v>
      </c>
      <c r="Q22" s="15" t="s">
        <v>648</v>
      </c>
      <c r="R22" s="18" t="s">
        <v>1201</v>
      </c>
      <c r="S22" s="15" t="s">
        <v>1202</v>
      </c>
      <c r="T22" s="19">
        <v>97.5</v>
      </c>
      <c r="U22" s="20">
        <v>0</v>
      </c>
      <c r="V22" s="15" t="s">
        <v>1203</v>
      </c>
      <c r="W22" s="20">
        <v>0</v>
      </c>
      <c r="X22" t="s">
        <v>1204</v>
      </c>
      <c r="Y22" s="20">
        <v>2797.82</v>
      </c>
      <c r="Z22" s="20">
        <v>624.98</v>
      </c>
      <c r="AA22" s="20">
        <v>1143.53</v>
      </c>
      <c r="AB22" s="20">
        <v>1029.31</v>
      </c>
      <c r="AC22" s="20">
        <v>0</v>
      </c>
      <c r="AD22" s="21">
        <v>37</v>
      </c>
      <c r="AG22">
        <v>1</v>
      </c>
      <c r="AH22">
        <v>1</v>
      </c>
      <c r="AI22" s="15">
        <v>46077.405555555553</v>
      </c>
      <c r="AJ22" t="s">
        <v>83</v>
      </c>
      <c r="AK22" t="s">
        <v>1205</v>
      </c>
      <c r="AL22" s="15">
        <v>46069.06894675926</v>
      </c>
      <c r="AM22" s="15" t="s">
        <v>92</v>
      </c>
      <c r="AN22" s="15" t="s">
        <v>1206</v>
      </c>
      <c r="AO22" s="15" t="s">
        <v>1207</v>
      </c>
      <c r="AP22" t="str">
        <f t="shared" si="0"/>
        <v>C</v>
      </c>
    </row>
    <row r="23" spans="1:42" x14ac:dyDescent="0.25">
      <c r="A23" t="s">
        <v>1365</v>
      </c>
      <c r="B23" s="14" t="s">
        <v>1080</v>
      </c>
      <c r="C23">
        <v>4</v>
      </c>
      <c r="D23" t="s">
        <v>44</v>
      </c>
      <c r="E23" s="15" t="s">
        <v>1102</v>
      </c>
      <c r="F23">
        <v>18535</v>
      </c>
      <c r="G23" s="16">
        <v>46069</v>
      </c>
      <c r="H23" s="16">
        <v>46069</v>
      </c>
      <c r="I23" s="16">
        <v>46069</v>
      </c>
      <c r="J23" s="16">
        <v>46069</v>
      </c>
      <c r="K23" s="31" t="s">
        <v>1134</v>
      </c>
      <c r="L23" s="15" t="s">
        <v>1135</v>
      </c>
      <c r="M23" t="s">
        <v>1136</v>
      </c>
      <c r="N23" t="s">
        <v>49</v>
      </c>
      <c r="O23" t="s">
        <v>1085</v>
      </c>
      <c r="P23" s="15" t="s">
        <v>51</v>
      </c>
      <c r="Q23" s="15" t="s">
        <v>1086</v>
      </c>
      <c r="R23" s="18" t="s">
        <v>1208</v>
      </c>
      <c r="S23" s="15" t="s">
        <v>1209</v>
      </c>
      <c r="T23" s="19">
        <v>96.4</v>
      </c>
      <c r="U23" s="20">
        <v>0</v>
      </c>
      <c r="V23" s="15" t="s">
        <v>58</v>
      </c>
      <c r="W23" s="20">
        <v>0</v>
      </c>
      <c r="X23" t="s">
        <v>1210</v>
      </c>
      <c r="Y23" s="20">
        <v>2770.07</v>
      </c>
      <c r="Z23" s="20">
        <v>617.91999999999996</v>
      </c>
      <c r="AA23" s="20">
        <v>1122.8399999999999</v>
      </c>
      <c r="AB23" s="20">
        <v>1029.31</v>
      </c>
      <c r="AC23" s="20">
        <v>0</v>
      </c>
      <c r="AD23" s="21">
        <v>61</v>
      </c>
      <c r="AG23">
        <v>1</v>
      </c>
      <c r="AH23">
        <v>1</v>
      </c>
      <c r="AI23" s="15">
        <v>46076.682638888888</v>
      </c>
      <c r="AJ23" t="s">
        <v>83</v>
      </c>
      <c r="AK23" t="s">
        <v>1140</v>
      </c>
      <c r="AL23" s="15">
        <v>46072.110520833332</v>
      </c>
      <c r="AM23" s="15" t="s">
        <v>56</v>
      </c>
      <c r="AN23" s="15" t="s">
        <v>58</v>
      </c>
      <c r="AO23" s="15" t="s">
        <v>58</v>
      </c>
      <c r="AP23" t="str">
        <f t="shared" si="0"/>
        <v>V</v>
      </c>
    </row>
    <row r="24" spans="1:42" x14ac:dyDescent="0.25">
      <c r="A24" t="s">
        <v>1365</v>
      </c>
      <c r="B24" s="14" t="s">
        <v>1080</v>
      </c>
      <c r="C24">
        <v>4</v>
      </c>
      <c r="D24" t="s">
        <v>44</v>
      </c>
      <c r="E24" s="15" t="s">
        <v>1102</v>
      </c>
      <c r="F24">
        <v>18533</v>
      </c>
      <c r="G24" s="16">
        <v>46069</v>
      </c>
      <c r="H24" s="16">
        <v>46069.125</v>
      </c>
      <c r="I24" s="16">
        <v>46069.125</v>
      </c>
      <c r="J24" s="16">
        <v>46069.375</v>
      </c>
      <c r="K24" s="31" t="s">
        <v>1134</v>
      </c>
      <c r="L24" s="15" t="s">
        <v>1135</v>
      </c>
      <c r="M24" t="s">
        <v>1136</v>
      </c>
      <c r="N24" t="s">
        <v>49</v>
      </c>
      <c r="O24" t="s">
        <v>1095</v>
      </c>
      <c r="P24" s="15" t="s">
        <v>1086</v>
      </c>
      <c r="Q24" s="15" t="s">
        <v>648</v>
      </c>
      <c r="R24" s="18" t="s">
        <v>1211</v>
      </c>
      <c r="S24" s="15" t="s">
        <v>1212</v>
      </c>
      <c r="T24" s="19">
        <v>97.5</v>
      </c>
      <c r="U24" s="20">
        <v>0</v>
      </c>
      <c r="V24" s="15" t="s">
        <v>1213</v>
      </c>
      <c r="W24" s="20">
        <v>0</v>
      </c>
      <c r="X24" t="s">
        <v>1214</v>
      </c>
      <c r="Y24" s="20">
        <v>2797.75</v>
      </c>
      <c r="Z24" s="20">
        <v>624.98</v>
      </c>
      <c r="AA24" s="20">
        <v>1143.46</v>
      </c>
      <c r="AB24" s="20">
        <v>1029.31</v>
      </c>
      <c r="AC24" s="20">
        <v>0</v>
      </c>
      <c r="AD24" s="21">
        <v>119</v>
      </c>
      <c r="AG24">
        <v>1</v>
      </c>
      <c r="AH24">
        <v>1</v>
      </c>
      <c r="AI24" s="15">
        <v>46076.772222222222</v>
      </c>
      <c r="AJ24" t="s">
        <v>83</v>
      </c>
      <c r="AK24" t="s">
        <v>1140</v>
      </c>
      <c r="AL24" s="15">
        <v>46069.7893287037</v>
      </c>
      <c r="AM24" s="15" t="s">
        <v>92</v>
      </c>
      <c r="AN24" s="15" t="s">
        <v>745</v>
      </c>
      <c r="AO24" s="15" t="s">
        <v>1215</v>
      </c>
      <c r="AP24" t="str">
        <f t="shared" si="0"/>
        <v>C</v>
      </c>
    </row>
    <row r="25" spans="1:42" x14ac:dyDescent="0.25">
      <c r="A25" t="s">
        <v>1365</v>
      </c>
      <c r="B25" s="14" t="s">
        <v>1080</v>
      </c>
      <c r="C25">
        <v>4</v>
      </c>
      <c r="D25" t="s">
        <v>44</v>
      </c>
      <c r="E25" s="15" t="s">
        <v>1081</v>
      </c>
      <c r="F25">
        <v>18773</v>
      </c>
      <c r="G25" s="16">
        <v>46070</v>
      </c>
      <c r="H25" s="16">
        <v>46070</v>
      </c>
      <c r="I25" s="16">
        <v>46070</v>
      </c>
      <c r="J25" s="16">
        <v>46070</v>
      </c>
      <c r="K25" s="31" t="s">
        <v>1128</v>
      </c>
      <c r="L25" s="15" t="s">
        <v>1129</v>
      </c>
      <c r="M25" t="s">
        <v>1130</v>
      </c>
      <c r="N25" t="s">
        <v>49</v>
      </c>
      <c r="O25" t="s">
        <v>1085</v>
      </c>
      <c r="P25" s="15" t="s">
        <v>51</v>
      </c>
      <c r="Q25" s="15" t="s">
        <v>1086</v>
      </c>
      <c r="R25" s="18" t="s">
        <v>1216</v>
      </c>
      <c r="S25" s="15" t="s">
        <v>1217</v>
      </c>
      <c r="T25" s="19">
        <v>96.4</v>
      </c>
      <c r="U25" s="20">
        <v>0</v>
      </c>
      <c r="V25" s="15" t="s">
        <v>58</v>
      </c>
      <c r="W25" s="20">
        <v>0</v>
      </c>
      <c r="X25" t="s">
        <v>1218</v>
      </c>
      <c r="Y25" s="20">
        <v>2769.18</v>
      </c>
      <c r="Z25" s="20">
        <v>617.91999999999996</v>
      </c>
      <c r="AA25" s="20">
        <v>1121.95</v>
      </c>
      <c r="AB25" s="20">
        <v>1029.31</v>
      </c>
      <c r="AC25" s="20">
        <v>0</v>
      </c>
      <c r="AD25" s="21">
        <v>80</v>
      </c>
      <c r="AG25">
        <v>0</v>
      </c>
      <c r="AH25">
        <v>0</v>
      </c>
      <c r="AI25" s="15">
        <v>46076.446527777778</v>
      </c>
      <c r="AJ25" t="s">
        <v>557</v>
      </c>
      <c r="AK25" t="s">
        <v>557</v>
      </c>
      <c r="AL25" s="15">
        <v>46076.64638888889</v>
      </c>
      <c r="AM25" s="15" t="s">
        <v>197</v>
      </c>
      <c r="AN25" s="15" t="s">
        <v>58</v>
      </c>
      <c r="AO25" s="15" t="s">
        <v>58</v>
      </c>
      <c r="AP25" t="str">
        <f t="shared" si="0"/>
        <v>V</v>
      </c>
    </row>
    <row r="26" spans="1:42" x14ac:dyDescent="0.25">
      <c r="A26" t="s">
        <v>1364</v>
      </c>
      <c r="B26" s="14" t="s">
        <v>1080</v>
      </c>
      <c r="C26">
        <v>4</v>
      </c>
      <c r="D26" t="s">
        <v>44</v>
      </c>
      <c r="E26" s="15" t="s">
        <v>1219</v>
      </c>
      <c r="F26">
        <v>18873</v>
      </c>
      <c r="G26" s="16">
        <v>46070</v>
      </c>
      <c r="H26" s="16">
        <v>46070</v>
      </c>
      <c r="I26" s="16">
        <v>46070</v>
      </c>
      <c r="J26" s="16">
        <v>46070</v>
      </c>
      <c r="K26" s="31" t="s">
        <v>1082</v>
      </c>
      <c r="L26" s="15" t="s">
        <v>1083</v>
      </c>
      <c r="M26" t="s">
        <v>1084</v>
      </c>
      <c r="N26" t="s">
        <v>49</v>
      </c>
      <c r="O26" t="s">
        <v>1085</v>
      </c>
      <c r="P26" s="15" t="s">
        <v>51</v>
      </c>
      <c r="Q26" s="15" t="s">
        <v>1086</v>
      </c>
      <c r="R26" s="18" t="s">
        <v>1220</v>
      </c>
      <c r="S26" s="15" t="s">
        <v>1221</v>
      </c>
      <c r="T26" s="19">
        <v>96.4</v>
      </c>
      <c r="U26" s="20">
        <v>0</v>
      </c>
      <c r="V26" s="15" t="s">
        <v>58</v>
      </c>
      <c r="W26" s="20">
        <v>0</v>
      </c>
      <c r="X26" t="s">
        <v>1222</v>
      </c>
      <c r="Y26" s="20">
        <v>2770.59</v>
      </c>
      <c r="Z26" s="20">
        <v>617.91999999999996</v>
      </c>
      <c r="AA26" s="20">
        <v>1123.3599999999999</v>
      </c>
      <c r="AB26" s="20">
        <v>1029.31</v>
      </c>
      <c r="AC26" s="20">
        <v>0</v>
      </c>
      <c r="AD26" s="21">
        <v>75</v>
      </c>
      <c r="AG26">
        <v>0</v>
      </c>
      <c r="AH26">
        <v>0</v>
      </c>
      <c r="AI26" s="15">
        <v>46076.468055555553</v>
      </c>
      <c r="AJ26" t="s">
        <v>557</v>
      </c>
      <c r="AK26" t="s">
        <v>557</v>
      </c>
      <c r="AL26" s="15">
        <v>46076.643495370372</v>
      </c>
      <c r="AM26" s="15" t="s">
        <v>197</v>
      </c>
      <c r="AN26" s="15" t="s">
        <v>594</v>
      </c>
      <c r="AO26" s="15" t="s">
        <v>594</v>
      </c>
      <c r="AP26" t="str">
        <f t="shared" si="0"/>
        <v>V</v>
      </c>
    </row>
    <row r="27" spans="1:42" x14ac:dyDescent="0.25">
      <c r="A27" t="s">
        <v>1365</v>
      </c>
      <c r="B27" s="14" t="s">
        <v>1080</v>
      </c>
      <c r="C27">
        <v>4</v>
      </c>
      <c r="D27" t="s">
        <v>44</v>
      </c>
      <c r="E27" s="15" t="s">
        <v>1219</v>
      </c>
      <c r="F27">
        <v>18927</v>
      </c>
      <c r="G27" s="16">
        <v>46070</v>
      </c>
      <c r="H27" s="16">
        <v>46070</v>
      </c>
      <c r="I27" s="16">
        <v>46070</v>
      </c>
      <c r="J27" s="16">
        <v>46070</v>
      </c>
      <c r="K27" s="31" t="s">
        <v>1223</v>
      </c>
      <c r="L27" s="15" t="s">
        <v>1224</v>
      </c>
      <c r="M27" t="s">
        <v>1225</v>
      </c>
      <c r="N27" t="s">
        <v>49</v>
      </c>
      <c r="O27" t="s">
        <v>1085</v>
      </c>
      <c r="P27" s="15" t="s">
        <v>51</v>
      </c>
      <c r="Q27" s="15" t="s">
        <v>1086</v>
      </c>
      <c r="R27" s="18" t="s">
        <v>1226</v>
      </c>
      <c r="S27" s="15" t="s">
        <v>1227</v>
      </c>
      <c r="T27" s="19">
        <v>96.4</v>
      </c>
      <c r="U27" s="20">
        <v>0</v>
      </c>
      <c r="V27" s="15" t="s">
        <v>58</v>
      </c>
      <c r="W27" s="20">
        <v>0</v>
      </c>
      <c r="X27" t="s">
        <v>1228</v>
      </c>
      <c r="Y27" s="20">
        <v>2772.4</v>
      </c>
      <c r="Z27" s="20">
        <v>618.57000000000005</v>
      </c>
      <c r="AA27" s="20">
        <v>1124.52</v>
      </c>
      <c r="AB27" s="20">
        <v>1029.31</v>
      </c>
      <c r="AC27" s="20">
        <v>0</v>
      </c>
      <c r="AD27" s="21">
        <v>85</v>
      </c>
      <c r="AG27">
        <v>0</v>
      </c>
      <c r="AH27">
        <v>0</v>
      </c>
      <c r="AI27" s="15">
        <v>46076.468055555553</v>
      </c>
      <c r="AJ27" t="s">
        <v>557</v>
      </c>
      <c r="AK27" t="s">
        <v>557</v>
      </c>
      <c r="AL27" s="15">
        <v>46076.79996527778</v>
      </c>
      <c r="AM27" s="15" t="s">
        <v>197</v>
      </c>
      <c r="AN27" s="15" t="s">
        <v>594</v>
      </c>
      <c r="AO27" s="15" t="s">
        <v>594</v>
      </c>
      <c r="AP27" t="str">
        <f t="shared" si="0"/>
        <v>V</v>
      </c>
    </row>
    <row r="28" spans="1:42" x14ac:dyDescent="0.25">
      <c r="A28" t="s">
        <v>1365</v>
      </c>
      <c r="B28" s="14" t="s">
        <v>1080</v>
      </c>
      <c r="C28">
        <v>4</v>
      </c>
      <c r="D28" t="s">
        <v>44</v>
      </c>
      <c r="E28" s="15" t="s">
        <v>1081</v>
      </c>
      <c r="F28">
        <v>18772</v>
      </c>
      <c r="G28" s="16">
        <v>46070</v>
      </c>
      <c r="H28" s="16">
        <v>46070.125</v>
      </c>
      <c r="I28" s="16">
        <v>46070.125</v>
      </c>
      <c r="J28" s="16">
        <v>46070.375</v>
      </c>
      <c r="K28" s="31" t="s">
        <v>1128</v>
      </c>
      <c r="L28" s="15" t="s">
        <v>1129</v>
      </c>
      <c r="M28" t="s">
        <v>1130</v>
      </c>
      <c r="N28" t="s">
        <v>49</v>
      </c>
      <c r="O28" t="s">
        <v>1095</v>
      </c>
      <c r="P28" s="15" t="s">
        <v>1086</v>
      </c>
      <c r="Q28" s="15" t="s">
        <v>648</v>
      </c>
      <c r="R28" s="18" t="s">
        <v>1229</v>
      </c>
      <c r="S28" s="15" t="s">
        <v>1230</v>
      </c>
      <c r="T28" s="19">
        <v>97.5</v>
      </c>
      <c r="U28" s="20">
        <v>0</v>
      </c>
      <c r="V28" s="15" t="s">
        <v>1231</v>
      </c>
      <c r="W28" s="20">
        <v>0</v>
      </c>
      <c r="X28" t="s">
        <v>1232</v>
      </c>
      <c r="Y28" s="20">
        <v>2797.8</v>
      </c>
      <c r="Z28" s="20">
        <v>624.98</v>
      </c>
      <c r="AA28" s="20">
        <v>1143.51</v>
      </c>
      <c r="AB28" s="20">
        <v>1029.31</v>
      </c>
      <c r="AC28" s="20">
        <v>0</v>
      </c>
      <c r="AD28" s="21">
        <v>124</v>
      </c>
      <c r="AG28">
        <v>1</v>
      </c>
      <c r="AH28">
        <v>1</v>
      </c>
      <c r="AI28" s="15">
        <v>46079.399305555555</v>
      </c>
      <c r="AJ28" t="s">
        <v>140</v>
      </c>
      <c r="AK28" t="s">
        <v>1233</v>
      </c>
      <c r="AL28" s="15">
        <v>46070.333773148152</v>
      </c>
      <c r="AM28" s="15" t="s">
        <v>85</v>
      </c>
      <c r="AN28" s="15" t="s">
        <v>437</v>
      </c>
      <c r="AO28" s="15" t="s">
        <v>1234</v>
      </c>
      <c r="AP28" t="str">
        <f t="shared" si="0"/>
        <v>C</v>
      </c>
    </row>
    <row r="29" spans="1:42" x14ac:dyDescent="0.25">
      <c r="A29" t="s">
        <v>1364</v>
      </c>
      <c r="B29" s="14" t="s">
        <v>1080</v>
      </c>
      <c r="C29">
        <v>4</v>
      </c>
      <c r="D29" t="s">
        <v>44</v>
      </c>
      <c r="E29" s="15" t="s">
        <v>1219</v>
      </c>
      <c r="F29">
        <v>18872</v>
      </c>
      <c r="G29" s="16">
        <v>46070</v>
      </c>
      <c r="H29" s="16">
        <v>46070.125</v>
      </c>
      <c r="I29" s="16">
        <v>46070.125</v>
      </c>
      <c r="J29" s="16">
        <v>46070.375</v>
      </c>
      <c r="K29" s="31" t="s">
        <v>1082</v>
      </c>
      <c r="L29" s="15" t="s">
        <v>1083</v>
      </c>
      <c r="M29" t="s">
        <v>1084</v>
      </c>
      <c r="N29" t="s">
        <v>49</v>
      </c>
      <c r="O29" t="s">
        <v>1095</v>
      </c>
      <c r="P29" s="15" t="s">
        <v>1086</v>
      </c>
      <c r="Q29" s="15" t="s">
        <v>648</v>
      </c>
      <c r="R29" s="18" t="s">
        <v>1235</v>
      </c>
      <c r="S29" s="15" t="s">
        <v>1236</v>
      </c>
      <c r="T29" s="19">
        <v>97.5</v>
      </c>
      <c r="U29" s="20">
        <v>0</v>
      </c>
      <c r="V29" s="15" t="s">
        <v>1237</v>
      </c>
      <c r="W29" s="20">
        <v>0</v>
      </c>
      <c r="X29" t="s">
        <v>1238</v>
      </c>
      <c r="Y29" s="20">
        <v>2797.8</v>
      </c>
      <c r="Z29" s="20">
        <v>624.98</v>
      </c>
      <c r="AA29" s="20">
        <v>1143.51</v>
      </c>
      <c r="AB29" s="20">
        <v>1029.31</v>
      </c>
      <c r="AC29" s="20">
        <v>0</v>
      </c>
      <c r="AD29" s="21">
        <v>140</v>
      </c>
      <c r="AG29">
        <v>1</v>
      </c>
      <c r="AH29">
        <v>1</v>
      </c>
      <c r="AI29" s="15">
        <v>46079.421527777777</v>
      </c>
      <c r="AJ29" t="s">
        <v>140</v>
      </c>
      <c r="AK29" t="s">
        <v>1092</v>
      </c>
      <c r="AL29" s="15">
        <v>46070.671377314815</v>
      </c>
      <c r="AM29" s="15" t="s">
        <v>92</v>
      </c>
      <c r="AN29" s="15" t="s">
        <v>1239</v>
      </c>
      <c r="AO29" s="15" t="s">
        <v>1240</v>
      </c>
      <c r="AP29" t="str">
        <f t="shared" si="0"/>
        <v>C</v>
      </c>
    </row>
    <row r="30" spans="1:42" x14ac:dyDescent="0.25">
      <c r="A30" t="s">
        <v>1365</v>
      </c>
      <c r="B30" s="14" t="s">
        <v>1080</v>
      </c>
      <c r="C30">
        <v>4</v>
      </c>
      <c r="D30" t="s">
        <v>44</v>
      </c>
      <c r="E30" s="15" t="s">
        <v>1219</v>
      </c>
      <c r="F30">
        <v>18926</v>
      </c>
      <c r="G30" s="16">
        <v>46070</v>
      </c>
      <c r="H30" s="16">
        <v>46070.125</v>
      </c>
      <c r="I30" s="16">
        <v>46070.125</v>
      </c>
      <c r="J30" s="16">
        <v>46070.375</v>
      </c>
      <c r="K30" s="31" t="s">
        <v>1223</v>
      </c>
      <c r="L30" s="15" t="s">
        <v>1224</v>
      </c>
      <c r="M30" t="s">
        <v>1225</v>
      </c>
      <c r="N30" t="s">
        <v>49</v>
      </c>
      <c r="O30" t="s">
        <v>1095</v>
      </c>
      <c r="P30" s="15" t="s">
        <v>1086</v>
      </c>
      <c r="Q30" s="15" t="s">
        <v>648</v>
      </c>
      <c r="R30" s="18" t="s">
        <v>1241</v>
      </c>
      <c r="S30" s="15" t="s">
        <v>1242</v>
      </c>
      <c r="T30" s="19">
        <v>97.5</v>
      </c>
      <c r="U30" s="20">
        <v>0</v>
      </c>
      <c r="V30" s="15" t="s">
        <v>1243</v>
      </c>
      <c r="W30" s="20">
        <v>0</v>
      </c>
      <c r="X30" t="s">
        <v>1244</v>
      </c>
      <c r="Y30" s="20">
        <v>2797.8</v>
      </c>
      <c r="Z30" s="20">
        <v>624.98</v>
      </c>
      <c r="AA30" s="20">
        <v>1143.51</v>
      </c>
      <c r="AB30" s="20">
        <v>1029.31</v>
      </c>
      <c r="AC30" s="20">
        <v>0</v>
      </c>
      <c r="AD30" s="21">
        <v>134</v>
      </c>
      <c r="AG30">
        <v>1</v>
      </c>
      <c r="AH30">
        <v>1</v>
      </c>
      <c r="AI30" s="15">
        <v>46079.42291666667</v>
      </c>
      <c r="AJ30" t="s">
        <v>140</v>
      </c>
      <c r="AK30" t="s">
        <v>1245</v>
      </c>
      <c r="AL30" s="15">
        <v>46070.660810185182</v>
      </c>
      <c r="AM30" s="15" t="s">
        <v>92</v>
      </c>
      <c r="AN30" s="15" t="s">
        <v>867</v>
      </c>
      <c r="AO30" s="15" t="s">
        <v>1246</v>
      </c>
      <c r="AP30" t="str">
        <f t="shared" si="0"/>
        <v>C</v>
      </c>
    </row>
    <row r="31" spans="1:42" x14ac:dyDescent="0.25">
      <c r="A31" t="s">
        <v>1365</v>
      </c>
      <c r="B31" s="14" t="s">
        <v>1080</v>
      </c>
      <c r="C31">
        <v>4</v>
      </c>
      <c r="D31" t="s">
        <v>44</v>
      </c>
      <c r="E31" s="15" t="s">
        <v>1219</v>
      </c>
      <c r="F31">
        <v>19284</v>
      </c>
      <c r="G31" s="16">
        <v>46071</v>
      </c>
      <c r="H31" s="16">
        <v>46071</v>
      </c>
      <c r="I31" s="16">
        <v>46071</v>
      </c>
      <c r="J31" s="16">
        <v>46071</v>
      </c>
      <c r="K31" s="31" t="s">
        <v>1144</v>
      </c>
      <c r="L31" s="15" t="s">
        <v>1145</v>
      </c>
      <c r="M31" t="s">
        <v>1146</v>
      </c>
      <c r="N31" t="s">
        <v>49</v>
      </c>
      <c r="O31" t="s">
        <v>1085</v>
      </c>
      <c r="P31" s="15" t="s">
        <v>51</v>
      </c>
      <c r="Q31" s="15" t="s">
        <v>1086</v>
      </c>
      <c r="R31" s="18" t="s">
        <v>1247</v>
      </c>
      <c r="S31" s="15" t="s">
        <v>1248</v>
      </c>
      <c r="T31" s="19">
        <v>96.4</v>
      </c>
      <c r="U31" s="20">
        <v>0</v>
      </c>
      <c r="V31" s="15" t="s">
        <v>58</v>
      </c>
      <c r="W31" s="20">
        <v>0</v>
      </c>
      <c r="X31" t="s">
        <v>1249</v>
      </c>
      <c r="Y31" s="20">
        <v>2770.18</v>
      </c>
      <c r="Z31" s="20">
        <v>617.91999999999996</v>
      </c>
      <c r="AA31" s="20">
        <v>1122.95</v>
      </c>
      <c r="AB31" s="20">
        <v>1029.31</v>
      </c>
      <c r="AC31" s="20">
        <v>0</v>
      </c>
      <c r="AD31" s="21"/>
      <c r="AG31">
        <v>0</v>
      </c>
      <c r="AH31">
        <v>0</v>
      </c>
      <c r="AI31" s="15">
        <v>46077.448611111111</v>
      </c>
      <c r="AJ31" t="s">
        <v>557</v>
      </c>
      <c r="AK31" t="s">
        <v>557</v>
      </c>
      <c r="AL31" s="15">
        <v>46077.673761574071</v>
      </c>
      <c r="AM31" s="15" t="s">
        <v>197</v>
      </c>
      <c r="AN31" s="15" t="s">
        <v>594</v>
      </c>
      <c r="AO31" s="15" t="s">
        <v>594</v>
      </c>
      <c r="AP31" t="str">
        <f t="shared" si="0"/>
        <v>V</v>
      </c>
    </row>
    <row r="32" spans="1:42" x14ac:dyDescent="0.25">
      <c r="A32" t="s">
        <v>1366</v>
      </c>
      <c r="B32" s="14" t="s">
        <v>1080</v>
      </c>
      <c r="C32">
        <v>4</v>
      </c>
      <c r="D32" t="s">
        <v>44</v>
      </c>
      <c r="E32" s="15" t="s">
        <v>1219</v>
      </c>
      <c r="F32">
        <v>19477</v>
      </c>
      <c r="G32" s="16">
        <v>46071</v>
      </c>
      <c r="H32" s="16">
        <v>46071</v>
      </c>
      <c r="I32" s="16">
        <v>46071</v>
      </c>
      <c r="J32" s="16">
        <v>46071</v>
      </c>
      <c r="K32" s="31" t="s">
        <v>1161</v>
      </c>
      <c r="L32" s="15" t="s">
        <v>1162</v>
      </c>
      <c r="M32" t="s">
        <v>1163</v>
      </c>
      <c r="N32" t="s">
        <v>49</v>
      </c>
      <c r="O32" t="s">
        <v>1095</v>
      </c>
      <c r="P32" s="15" t="s">
        <v>1086</v>
      </c>
      <c r="Q32" s="15" t="s">
        <v>648</v>
      </c>
      <c r="R32" s="18" t="s">
        <v>1250</v>
      </c>
      <c r="S32" s="15" t="s">
        <v>1251</v>
      </c>
      <c r="T32" s="19">
        <v>97.5</v>
      </c>
      <c r="U32" s="20">
        <v>0</v>
      </c>
      <c r="V32" s="15" t="s">
        <v>1252</v>
      </c>
      <c r="W32" s="20">
        <v>0</v>
      </c>
      <c r="X32" t="s">
        <v>1253</v>
      </c>
      <c r="Y32" s="20">
        <v>2797.63</v>
      </c>
      <c r="Z32" s="20">
        <v>624.98</v>
      </c>
      <c r="AA32" s="20">
        <v>1143.3399999999999</v>
      </c>
      <c r="AB32" s="20">
        <v>1029.31</v>
      </c>
      <c r="AC32" s="20">
        <v>0</v>
      </c>
      <c r="AD32" s="21">
        <v>52</v>
      </c>
      <c r="AG32">
        <v>1</v>
      </c>
      <c r="AH32">
        <v>1</v>
      </c>
      <c r="AI32" s="15">
        <v>46078.730555555558</v>
      </c>
      <c r="AJ32" t="s">
        <v>140</v>
      </c>
      <c r="AK32" t="s">
        <v>1205</v>
      </c>
      <c r="AL32" s="15">
        <v>46071.941261574073</v>
      </c>
      <c r="AM32" s="15" t="s">
        <v>56</v>
      </c>
      <c r="AN32" s="15" t="s">
        <v>255</v>
      </c>
      <c r="AO32" s="15" t="s">
        <v>1254</v>
      </c>
      <c r="AP32" t="str">
        <f t="shared" si="0"/>
        <v>C</v>
      </c>
    </row>
    <row r="33" spans="1:42" x14ac:dyDescent="0.25">
      <c r="A33" t="s">
        <v>1366</v>
      </c>
      <c r="B33" s="14" t="s">
        <v>1080</v>
      </c>
      <c r="C33">
        <v>3</v>
      </c>
      <c r="D33" t="s">
        <v>451</v>
      </c>
      <c r="E33" s="15" t="s">
        <v>1219</v>
      </c>
      <c r="F33">
        <v>19478</v>
      </c>
      <c r="G33" s="16">
        <v>46071</v>
      </c>
      <c r="H33" s="16">
        <v>46071</v>
      </c>
      <c r="I33" s="16">
        <v>46071</v>
      </c>
      <c r="J33" s="16">
        <v>46071</v>
      </c>
      <c r="K33" s="31" t="s">
        <v>1161</v>
      </c>
      <c r="L33" s="15" t="s">
        <v>1162</v>
      </c>
      <c r="M33" t="s">
        <v>1163</v>
      </c>
      <c r="N33" t="s">
        <v>49</v>
      </c>
      <c r="O33" t="s">
        <v>1085</v>
      </c>
      <c r="P33" s="15" t="s">
        <v>51</v>
      </c>
      <c r="Q33" s="15" t="s">
        <v>1086</v>
      </c>
      <c r="R33" s="18" t="s">
        <v>1255</v>
      </c>
      <c r="S33" s="15" t="s">
        <v>1256</v>
      </c>
      <c r="T33" s="19">
        <v>96.4</v>
      </c>
      <c r="U33" s="20">
        <v>0</v>
      </c>
      <c r="V33" s="15" t="s">
        <v>58</v>
      </c>
      <c r="W33" s="20">
        <v>0</v>
      </c>
      <c r="X33" t="s">
        <v>1257</v>
      </c>
      <c r="Y33" s="20">
        <v>2769.18</v>
      </c>
      <c r="Z33" s="20">
        <v>617.91999999999996</v>
      </c>
      <c r="AA33" s="20">
        <v>1121.95</v>
      </c>
      <c r="AB33" s="20">
        <v>1029.31</v>
      </c>
      <c r="AC33" s="20">
        <v>0</v>
      </c>
      <c r="AD33" s="21"/>
      <c r="AG33">
        <v>0</v>
      </c>
      <c r="AH33">
        <v>0</v>
      </c>
      <c r="AI33" s="15">
        <v>46076.45208333333</v>
      </c>
      <c r="AJ33" t="s">
        <v>557</v>
      </c>
      <c r="AK33" t="s">
        <v>557</v>
      </c>
      <c r="AL33" s="15">
        <v>46076.650266203702</v>
      </c>
      <c r="AM33" s="15" t="s">
        <v>197</v>
      </c>
      <c r="AN33" s="15" t="s">
        <v>594</v>
      </c>
      <c r="AO33" s="15" t="s">
        <v>594</v>
      </c>
      <c r="AP33" t="str">
        <f t="shared" si="0"/>
        <v>V</v>
      </c>
    </row>
    <row r="34" spans="1:42" x14ac:dyDescent="0.25">
      <c r="A34" t="s">
        <v>1365</v>
      </c>
      <c r="B34" s="14" t="s">
        <v>1080</v>
      </c>
      <c r="C34">
        <v>4</v>
      </c>
      <c r="D34" t="s">
        <v>44</v>
      </c>
      <c r="E34" s="15" t="s">
        <v>1219</v>
      </c>
      <c r="F34">
        <v>19282</v>
      </c>
      <c r="G34" s="16">
        <v>46071</v>
      </c>
      <c r="H34" s="16">
        <v>46071.125</v>
      </c>
      <c r="I34" s="16">
        <v>46071.125</v>
      </c>
      <c r="J34" s="16">
        <v>46071.375</v>
      </c>
      <c r="K34" s="31" t="s">
        <v>1144</v>
      </c>
      <c r="L34" s="15" t="s">
        <v>1145</v>
      </c>
      <c r="M34" t="s">
        <v>1146</v>
      </c>
      <c r="N34" t="s">
        <v>49</v>
      </c>
      <c r="O34" t="s">
        <v>1095</v>
      </c>
      <c r="P34" s="15" t="s">
        <v>1086</v>
      </c>
      <c r="Q34" s="15" t="s">
        <v>648</v>
      </c>
      <c r="R34" s="18" t="s">
        <v>1258</v>
      </c>
      <c r="S34" s="15" t="s">
        <v>1259</v>
      </c>
      <c r="T34" s="19">
        <v>97.5</v>
      </c>
      <c r="U34" s="20">
        <v>0</v>
      </c>
      <c r="V34" s="15" t="s">
        <v>1260</v>
      </c>
      <c r="W34" s="20">
        <v>0</v>
      </c>
      <c r="X34" t="s">
        <v>1261</v>
      </c>
      <c r="Y34" s="20">
        <v>2797.63</v>
      </c>
      <c r="Z34" s="20">
        <v>624.98</v>
      </c>
      <c r="AA34" s="20">
        <v>1143.3399999999999</v>
      </c>
      <c r="AB34" s="20">
        <v>1029.31</v>
      </c>
      <c r="AC34" s="20">
        <v>0</v>
      </c>
      <c r="AD34" s="21"/>
      <c r="AG34">
        <v>0</v>
      </c>
      <c r="AH34">
        <v>0</v>
      </c>
      <c r="AI34" s="15"/>
      <c r="AL34" s="15">
        <v>46071.539270833331</v>
      </c>
      <c r="AM34" s="15" t="s">
        <v>197</v>
      </c>
      <c r="AN34" s="15" t="s">
        <v>1262</v>
      </c>
      <c r="AO34" s="15" t="s">
        <v>1263</v>
      </c>
      <c r="AP34" t="str">
        <f t="shared" si="0"/>
        <v>C</v>
      </c>
    </row>
    <row r="35" spans="1:42" x14ac:dyDescent="0.25">
      <c r="A35" t="s">
        <v>1365</v>
      </c>
      <c r="B35" s="14" t="s">
        <v>1080</v>
      </c>
      <c r="C35">
        <v>3</v>
      </c>
      <c r="D35" t="s">
        <v>451</v>
      </c>
      <c r="E35" s="15" t="s">
        <v>1102</v>
      </c>
      <c r="F35">
        <v>19625</v>
      </c>
      <c r="G35" s="16">
        <v>46072</v>
      </c>
      <c r="H35" s="16">
        <v>46072</v>
      </c>
      <c r="I35" s="16">
        <v>46072</v>
      </c>
      <c r="J35" s="16">
        <v>46072</v>
      </c>
      <c r="K35" s="31" t="s">
        <v>1154</v>
      </c>
      <c r="L35" s="15" t="s">
        <v>1155</v>
      </c>
      <c r="M35" t="s">
        <v>1156</v>
      </c>
      <c r="N35" t="s">
        <v>49</v>
      </c>
      <c r="O35" t="s">
        <v>1085</v>
      </c>
      <c r="P35" s="15" t="s">
        <v>51</v>
      </c>
      <c r="Q35" s="15" t="s">
        <v>1086</v>
      </c>
      <c r="R35" s="18" t="s">
        <v>1264</v>
      </c>
      <c r="S35" s="15" t="s">
        <v>1265</v>
      </c>
      <c r="T35" s="19">
        <v>96.4</v>
      </c>
      <c r="U35" s="20">
        <v>0</v>
      </c>
      <c r="V35" s="15" t="s">
        <v>58</v>
      </c>
      <c r="W35" s="20">
        <v>0</v>
      </c>
      <c r="X35" t="s">
        <v>1266</v>
      </c>
      <c r="Y35" s="20">
        <v>2769.18</v>
      </c>
      <c r="Z35" s="20">
        <v>617.91999999999996</v>
      </c>
      <c r="AA35" s="20">
        <v>1121.95</v>
      </c>
      <c r="AB35" s="20">
        <v>1029.31</v>
      </c>
      <c r="AC35" s="20">
        <v>0</v>
      </c>
      <c r="AD35" s="21">
        <v>79</v>
      </c>
      <c r="AG35">
        <v>0</v>
      </c>
      <c r="AH35">
        <v>0</v>
      </c>
      <c r="AI35" s="15">
        <v>46076.453472222223</v>
      </c>
      <c r="AJ35" t="s">
        <v>557</v>
      </c>
      <c r="AK35" t="s">
        <v>557</v>
      </c>
      <c r="AL35" s="15">
        <v>46076.650972222225</v>
      </c>
      <c r="AM35" s="15" t="s">
        <v>197</v>
      </c>
      <c r="AN35" s="15" t="s">
        <v>58</v>
      </c>
      <c r="AO35" s="15" t="s">
        <v>58</v>
      </c>
      <c r="AP35" t="str">
        <f t="shared" si="0"/>
        <v>V</v>
      </c>
    </row>
    <row r="36" spans="1:42" x14ac:dyDescent="0.25">
      <c r="A36" t="s">
        <v>1365</v>
      </c>
      <c r="B36" s="14" t="s">
        <v>1080</v>
      </c>
      <c r="C36">
        <v>2</v>
      </c>
      <c r="D36" t="s">
        <v>451</v>
      </c>
      <c r="E36" s="15" t="s">
        <v>1102</v>
      </c>
      <c r="F36">
        <v>19628</v>
      </c>
      <c r="G36" s="16">
        <v>46072</v>
      </c>
      <c r="H36" s="16"/>
      <c r="I36" s="16">
        <v>46072</v>
      </c>
      <c r="J36" s="16"/>
      <c r="K36" s="31" t="s">
        <v>1116</v>
      </c>
      <c r="L36" s="15" t="s">
        <v>1117</v>
      </c>
      <c r="M36" t="s">
        <v>1118</v>
      </c>
      <c r="N36" t="s">
        <v>49</v>
      </c>
      <c r="O36" t="s">
        <v>1085</v>
      </c>
      <c r="P36" s="15" t="s">
        <v>51</v>
      </c>
      <c r="Q36" s="15" t="s">
        <v>1086</v>
      </c>
      <c r="R36" s="18" t="s">
        <v>1267</v>
      </c>
      <c r="S36" s="15" t="s">
        <v>1268</v>
      </c>
      <c r="T36" s="19">
        <v>96.4</v>
      </c>
      <c r="U36" s="20">
        <v>0</v>
      </c>
      <c r="V36" s="15" t="s">
        <v>58</v>
      </c>
      <c r="W36" s="20">
        <v>0</v>
      </c>
      <c r="X36" t="s">
        <v>1269</v>
      </c>
      <c r="Y36" s="20">
        <v>2770.59</v>
      </c>
      <c r="Z36" s="20">
        <v>617.91999999999996</v>
      </c>
      <c r="AA36" s="20">
        <v>1123.3599999999999</v>
      </c>
      <c r="AB36" s="20">
        <v>1029.31</v>
      </c>
      <c r="AC36" s="20">
        <v>0</v>
      </c>
      <c r="AD36" s="21">
        <v>69</v>
      </c>
      <c r="AG36">
        <v>0</v>
      </c>
      <c r="AH36">
        <v>0</v>
      </c>
      <c r="AI36" s="15">
        <v>46077.457638888889</v>
      </c>
      <c r="AJ36" t="s">
        <v>557</v>
      </c>
      <c r="AK36" t="s">
        <v>557</v>
      </c>
      <c r="AL36" s="15">
        <v>46077.708043981482</v>
      </c>
      <c r="AM36" s="15" t="s">
        <v>197</v>
      </c>
      <c r="AN36" s="15" t="s">
        <v>58</v>
      </c>
      <c r="AO36" s="15" t="s">
        <v>58</v>
      </c>
      <c r="AP36" t="str">
        <f t="shared" si="0"/>
        <v>V</v>
      </c>
    </row>
    <row r="37" spans="1:42" x14ac:dyDescent="0.25">
      <c r="A37" t="s">
        <v>1366</v>
      </c>
      <c r="B37" s="14" t="s">
        <v>1080</v>
      </c>
      <c r="C37">
        <v>3</v>
      </c>
      <c r="D37" t="s">
        <v>451</v>
      </c>
      <c r="E37" s="15" t="s">
        <v>1081</v>
      </c>
      <c r="F37">
        <v>19784</v>
      </c>
      <c r="G37" s="16">
        <v>46072</v>
      </c>
      <c r="H37" s="16">
        <v>46072</v>
      </c>
      <c r="I37" s="16">
        <v>46072</v>
      </c>
      <c r="J37" s="16">
        <v>46072</v>
      </c>
      <c r="K37" s="31" t="s">
        <v>1161</v>
      </c>
      <c r="L37" s="15" t="s">
        <v>1162</v>
      </c>
      <c r="M37" t="s">
        <v>1163</v>
      </c>
      <c r="N37" t="s">
        <v>49</v>
      </c>
      <c r="O37" t="s">
        <v>1085</v>
      </c>
      <c r="P37" s="15" t="s">
        <v>51</v>
      </c>
      <c r="Q37" s="15" t="s">
        <v>1086</v>
      </c>
      <c r="R37" s="18" t="s">
        <v>1270</v>
      </c>
      <c r="S37" s="15" t="s">
        <v>1271</v>
      </c>
      <c r="T37" s="19">
        <v>96.4</v>
      </c>
      <c r="U37" s="20">
        <v>0</v>
      </c>
      <c r="V37" s="15" t="s">
        <v>58</v>
      </c>
      <c r="W37" s="20">
        <v>0</v>
      </c>
      <c r="X37" t="s">
        <v>1272</v>
      </c>
      <c r="Y37" s="20">
        <v>2770.59</v>
      </c>
      <c r="Z37" s="20">
        <v>617.91999999999996</v>
      </c>
      <c r="AA37" s="20">
        <v>1123.3599999999999</v>
      </c>
      <c r="AB37" s="20">
        <v>1029.31</v>
      </c>
      <c r="AC37" s="20">
        <v>0</v>
      </c>
      <c r="AD37" s="21">
        <v>79</v>
      </c>
      <c r="AG37">
        <v>1</v>
      </c>
      <c r="AH37">
        <v>1</v>
      </c>
      <c r="AI37" s="15">
        <v>46077.46875</v>
      </c>
      <c r="AJ37" t="s">
        <v>83</v>
      </c>
      <c r="AK37" t="s">
        <v>1205</v>
      </c>
      <c r="AL37" s="15">
        <v>46076.64371527778</v>
      </c>
      <c r="AM37" s="15" t="s">
        <v>197</v>
      </c>
      <c r="AN37" s="15" t="s">
        <v>1273</v>
      </c>
      <c r="AO37" s="15" t="s">
        <v>594</v>
      </c>
      <c r="AP37" t="str">
        <f t="shared" si="0"/>
        <v>V</v>
      </c>
    </row>
    <row r="38" spans="1:42" x14ac:dyDescent="0.25">
      <c r="A38" t="s">
        <v>1365</v>
      </c>
      <c r="B38" s="14" t="s">
        <v>1080</v>
      </c>
      <c r="C38">
        <v>3</v>
      </c>
      <c r="D38" t="s">
        <v>451</v>
      </c>
      <c r="E38" s="15" t="s">
        <v>1219</v>
      </c>
      <c r="F38">
        <v>19918</v>
      </c>
      <c r="G38" s="16">
        <v>46072</v>
      </c>
      <c r="H38" s="16">
        <v>46072</v>
      </c>
      <c r="I38" s="16">
        <v>46072</v>
      </c>
      <c r="J38" s="16">
        <v>46072</v>
      </c>
      <c r="K38" s="31" t="s">
        <v>1144</v>
      </c>
      <c r="L38" s="15" t="s">
        <v>1145</v>
      </c>
      <c r="M38" t="s">
        <v>1146</v>
      </c>
      <c r="N38" t="s">
        <v>49</v>
      </c>
      <c r="O38" t="s">
        <v>1085</v>
      </c>
      <c r="P38" s="15" t="s">
        <v>51</v>
      </c>
      <c r="Q38" s="15" t="s">
        <v>1086</v>
      </c>
      <c r="R38" s="18" t="s">
        <v>1274</v>
      </c>
      <c r="S38" s="15" t="s">
        <v>1275</v>
      </c>
      <c r="T38" s="19">
        <v>96.4</v>
      </c>
      <c r="U38" s="20">
        <v>0</v>
      </c>
      <c r="V38" s="15" t="s">
        <v>58</v>
      </c>
      <c r="W38" s="20">
        <v>0</v>
      </c>
      <c r="X38" t="s">
        <v>1276</v>
      </c>
      <c r="Y38" s="20">
        <v>2769.18</v>
      </c>
      <c r="Z38" s="20">
        <v>617.91999999999996</v>
      </c>
      <c r="AA38" s="20">
        <v>1121.95</v>
      </c>
      <c r="AB38" s="20">
        <v>1029.31</v>
      </c>
      <c r="AC38" s="20">
        <v>0</v>
      </c>
      <c r="AD38" s="21">
        <v>70</v>
      </c>
      <c r="AG38">
        <v>1</v>
      </c>
      <c r="AH38">
        <v>1</v>
      </c>
      <c r="AI38" s="15">
        <v>46077.46875</v>
      </c>
      <c r="AJ38" t="s">
        <v>83</v>
      </c>
      <c r="AK38" t="s">
        <v>1150</v>
      </c>
      <c r="AL38" s="15">
        <v>46076.797939814816</v>
      </c>
      <c r="AM38" s="15" t="s">
        <v>197</v>
      </c>
      <c r="AN38" s="15" t="s">
        <v>594</v>
      </c>
      <c r="AO38" s="15" t="s">
        <v>594</v>
      </c>
      <c r="AP38" t="str">
        <f t="shared" si="0"/>
        <v>V</v>
      </c>
    </row>
    <row r="39" spans="1:42" x14ac:dyDescent="0.25">
      <c r="A39" t="s">
        <v>1365</v>
      </c>
      <c r="B39" s="14" t="s">
        <v>1080</v>
      </c>
      <c r="C39">
        <v>4</v>
      </c>
      <c r="D39" t="s">
        <v>44</v>
      </c>
      <c r="E39" s="15" t="s">
        <v>1102</v>
      </c>
      <c r="F39">
        <v>19624</v>
      </c>
      <c r="G39" s="16">
        <v>46072</v>
      </c>
      <c r="H39" s="16">
        <v>46072.125</v>
      </c>
      <c r="I39" s="16">
        <v>46072.125</v>
      </c>
      <c r="J39" s="16">
        <v>46072.375</v>
      </c>
      <c r="K39" s="31" t="s">
        <v>1154</v>
      </c>
      <c r="L39" s="15" t="s">
        <v>1155</v>
      </c>
      <c r="M39" t="s">
        <v>1156</v>
      </c>
      <c r="N39" t="s">
        <v>49</v>
      </c>
      <c r="O39" t="s">
        <v>1095</v>
      </c>
      <c r="P39" s="15" t="s">
        <v>1086</v>
      </c>
      <c r="Q39" s="15" t="s">
        <v>648</v>
      </c>
      <c r="R39" s="18" t="s">
        <v>1277</v>
      </c>
      <c r="S39" s="15" t="s">
        <v>1278</v>
      </c>
      <c r="T39" s="19">
        <v>97.5</v>
      </c>
      <c r="U39" s="20">
        <v>0</v>
      </c>
      <c r="V39" s="15" t="s">
        <v>1279</v>
      </c>
      <c r="W39" s="20">
        <v>0</v>
      </c>
      <c r="X39" t="s">
        <v>1280</v>
      </c>
      <c r="Y39" s="20">
        <v>2797.52</v>
      </c>
      <c r="Z39" s="20">
        <v>624.98</v>
      </c>
      <c r="AA39" s="20">
        <v>1143.23</v>
      </c>
      <c r="AB39" s="20">
        <v>1029.31</v>
      </c>
      <c r="AC39" s="20">
        <v>0</v>
      </c>
      <c r="AD39" s="21">
        <v>108</v>
      </c>
      <c r="AG39">
        <v>0</v>
      </c>
      <c r="AH39">
        <v>0</v>
      </c>
      <c r="AI39" s="15"/>
      <c r="AL39" s="15">
        <v>46072.472997685189</v>
      </c>
      <c r="AM39" s="15" t="s">
        <v>85</v>
      </c>
      <c r="AN39" s="15" t="s">
        <v>1281</v>
      </c>
      <c r="AO39" s="15" t="s">
        <v>1282</v>
      </c>
      <c r="AP39" t="str">
        <f t="shared" si="0"/>
        <v>C</v>
      </c>
    </row>
    <row r="40" spans="1:42" x14ac:dyDescent="0.25">
      <c r="A40" t="s">
        <v>1365</v>
      </c>
      <c r="B40" s="14" t="s">
        <v>1080</v>
      </c>
      <c r="C40">
        <v>4</v>
      </c>
      <c r="D40" t="s">
        <v>44</v>
      </c>
      <c r="E40" s="15" t="s">
        <v>1102</v>
      </c>
      <c r="F40">
        <v>19627</v>
      </c>
      <c r="G40" s="16">
        <v>46072</v>
      </c>
      <c r="H40" s="16">
        <v>46072.125</v>
      </c>
      <c r="I40" s="16">
        <v>46072.125</v>
      </c>
      <c r="J40" s="16">
        <v>46072.375</v>
      </c>
      <c r="K40" s="31" t="s">
        <v>1116</v>
      </c>
      <c r="L40" s="15" t="s">
        <v>1117</v>
      </c>
      <c r="M40" t="s">
        <v>1118</v>
      </c>
      <c r="N40" t="s">
        <v>49</v>
      </c>
      <c r="O40" t="s">
        <v>1095</v>
      </c>
      <c r="P40" s="15" t="s">
        <v>1086</v>
      </c>
      <c r="Q40" s="15" t="s">
        <v>648</v>
      </c>
      <c r="R40" s="18" t="s">
        <v>1283</v>
      </c>
      <c r="S40" s="15" t="s">
        <v>1284</v>
      </c>
      <c r="T40" s="19">
        <v>97.5</v>
      </c>
      <c r="U40" s="20">
        <v>0</v>
      </c>
      <c r="V40" s="15" t="s">
        <v>1285</v>
      </c>
      <c r="W40" s="20">
        <v>0</v>
      </c>
      <c r="X40" t="s">
        <v>1286</v>
      </c>
      <c r="Y40" s="20">
        <v>2797.52</v>
      </c>
      <c r="Z40" s="20">
        <v>624.98</v>
      </c>
      <c r="AA40" s="20">
        <v>1143.23</v>
      </c>
      <c r="AB40" s="20">
        <v>1029.31</v>
      </c>
      <c r="AC40" s="20">
        <v>0</v>
      </c>
      <c r="AD40" s="21">
        <v>130</v>
      </c>
      <c r="AG40">
        <v>0</v>
      </c>
      <c r="AH40">
        <v>0</v>
      </c>
      <c r="AI40" s="15"/>
      <c r="AL40" s="15">
        <v>46072.526261574072</v>
      </c>
      <c r="AM40" s="15" t="s">
        <v>85</v>
      </c>
      <c r="AN40" s="15" t="s">
        <v>638</v>
      </c>
      <c r="AO40" s="15" t="s">
        <v>629</v>
      </c>
      <c r="AP40" t="str">
        <f t="shared" si="0"/>
        <v>C</v>
      </c>
    </row>
    <row r="41" spans="1:42" x14ac:dyDescent="0.25">
      <c r="A41" t="s">
        <v>1366</v>
      </c>
      <c r="B41" s="14" t="s">
        <v>1080</v>
      </c>
      <c r="C41">
        <v>4</v>
      </c>
      <c r="D41" t="s">
        <v>44</v>
      </c>
      <c r="E41" s="15" t="s">
        <v>1081</v>
      </c>
      <c r="F41">
        <v>19783</v>
      </c>
      <c r="G41" s="16">
        <v>46072</v>
      </c>
      <c r="H41" s="16">
        <v>46072.125</v>
      </c>
      <c r="I41" s="16">
        <v>46072.125</v>
      </c>
      <c r="J41" s="16">
        <v>46072.375</v>
      </c>
      <c r="K41" s="31" t="s">
        <v>1161</v>
      </c>
      <c r="L41" s="15" t="s">
        <v>1162</v>
      </c>
      <c r="M41" t="s">
        <v>1163</v>
      </c>
      <c r="N41" t="s">
        <v>49</v>
      </c>
      <c r="O41" t="s">
        <v>1095</v>
      </c>
      <c r="P41" s="15" t="s">
        <v>1086</v>
      </c>
      <c r="Q41" s="15" t="s">
        <v>648</v>
      </c>
      <c r="R41" s="18" t="s">
        <v>1287</v>
      </c>
      <c r="S41" s="15" t="s">
        <v>1288</v>
      </c>
      <c r="T41" s="19">
        <v>97.5</v>
      </c>
      <c r="U41" s="20">
        <v>0</v>
      </c>
      <c r="V41" s="15" t="s">
        <v>1289</v>
      </c>
      <c r="W41" s="20">
        <v>0</v>
      </c>
      <c r="X41" t="s">
        <v>1290</v>
      </c>
      <c r="Y41" s="20">
        <v>2797.16</v>
      </c>
      <c r="Z41" s="20">
        <v>624.98</v>
      </c>
      <c r="AA41" s="20">
        <v>1142.8699999999999</v>
      </c>
      <c r="AB41" s="20">
        <v>1029.31</v>
      </c>
      <c r="AC41" s="20">
        <v>0</v>
      </c>
      <c r="AD41" s="21">
        <v>116</v>
      </c>
      <c r="AG41">
        <v>1</v>
      </c>
      <c r="AH41">
        <v>1</v>
      </c>
      <c r="AI41" s="15">
        <v>46077.487500000003</v>
      </c>
      <c r="AJ41" t="s">
        <v>83</v>
      </c>
      <c r="AK41" t="s">
        <v>1205</v>
      </c>
      <c r="AL41" s="15">
        <v>46076.606192129628</v>
      </c>
      <c r="AM41" s="15" t="s">
        <v>56</v>
      </c>
      <c r="AN41" s="15" t="s">
        <v>693</v>
      </c>
      <c r="AO41" s="15" t="s">
        <v>1291</v>
      </c>
      <c r="AP41" t="str">
        <f t="shared" si="0"/>
        <v>C</v>
      </c>
    </row>
    <row r="42" spans="1:42" x14ac:dyDescent="0.25">
      <c r="A42" t="s">
        <v>1365</v>
      </c>
      <c r="B42" s="14" t="s">
        <v>1080</v>
      </c>
      <c r="C42">
        <v>4</v>
      </c>
      <c r="D42" t="s">
        <v>44</v>
      </c>
      <c r="E42" s="15" t="s">
        <v>1219</v>
      </c>
      <c r="F42">
        <v>19917</v>
      </c>
      <c r="G42" s="16">
        <v>46072</v>
      </c>
      <c r="H42" s="16">
        <v>46072.125</v>
      </c>
      <c r="I42" s="16">
        <v>46072.125</v>
      </c>
      <c r="J42" s="16">
        <v>46072.375</v>
      </c>
      <c r="K42" s="31" t="s">
        <v>1144</v>
      </c>
      <c r="L42" s="15" t="s">
        <v>1145</v>
      </c>
      <c r="M42" t="s">
        <v>1146</v>
      </c>
      <c r="N42" t="s">
        <v>49</v>
      </c>
      <c r="O42" t="s">
        <v>1095</v>
      </c>
      <c r="P42" s="15" t="s">
        <v>1086</v>
      </c>
      <c r="Q42" s="15" t="s">
        <v>648</v>
      </c>
      <c r="R42" s="18" t="s">
        <v>1292</v>
      </c>
      <c r="S42" s="15" t="s">
        <v>1293</v>
      </c>
      <c r="T42" s="19">
        <v>97.5</v>
      </c>
      <c r="U42" s="20">
        <v>0</v>
      </c>
      <c r="V42" s="15" t="s">
        <v>1294</v>
      </c>
      <c r="W42" s="20">
        <v>0</v>
      </c>
      <c r="X42" t="s">
        <v>1295</v>
      </c>
      <c r="Y42" s="20">
        <v>2797.93</v>
      </c>
      <c r="Z42" s="20">
        <v>624.98</v>
      </c>
      <c r="AA42" s="20">
        <v>1143.6400000000001</v>
      </c>
      <c r="AB42" s="20">
        <v>1029.31</v>
      </c>
      <c r="AC42" s="20">
        <v>0</v>
      </c>
      <c r="AD42" s="21">
        <v>128</v>
      </c>
      <c r="AG42">
        <v>1</v>
      </c>
      <c r="AH42">
        <v>1</v>
      </c>
      <c r="AI42" s="15">
        <v>46077.478472222225</v>
      </c>
      <c r="AJ42" t="s">
        <v>83</v>
      </c>
      <c r="AK42" t="s">
        <v>1150</v>
      </c>
      <c r="AL42" s="15">
        <v>46073.067569444444</v>
      </c>
      <c r="AM42" s="15" t="s">
        <v>56</v>
      </c>
      <c r="AN42" s="15" t="s">
        <v>1296</v>
      </c>
      <c r="AO42" s="15" t="s">
        <v>1297</v>
      </c>
      <c r="AP42" t="str">
        <f t="shared" si="0"/>
        <v>C</v>
      </c>
    </row>
    <row r="43" spans="1:42" x14ac:dyDescent="0.25">
      <c r="A43" t="s">
        <v>1365</v>
      </c>
      <c r="B43" s="14" t="s">
        <v>1080</v>
      </c>
      <c r="C43">
        <v>2</v>
      </c>
      <c r="D43" t="s">
        <v>451</v>
      </c>
      <c r="E43" s="15" t="s">
        <v>1081</v>
      </c>
      <c r="F43">
        <v>20036</v>
      </c>
      <c r="G43" s="16">
        <v>46073</v>
      </c>
      <c r="H43" s="16"/>
      <c r="I43" s="16">
        <v>46073</v>
      </c>
      <c r="J43" s="16"/>
      <c r="K43" s="31" t="s">
        <v>1128</v>
      </c>
      <c r="L43" s="15" t="s">
        <v>1129</v>
      </c>
      <c r="M43" t="s">
        <v>1130</v>
      </c>
      <c r="N43" t="s">
        <v>49</v>
      </c>
      <c r="O43" t="s">
        <v>1095</v>
      </c>
      <c r="P43" s="15" t="s">
        <v>1086</v>
      </c>
      <c r="Q43" s="15" t="s">
        <v>648</v>
      </c>
      <c r="R43" s="18" t="s">
        <v>1298</v>
      </c>
      <c r="S43" s="15" t="s">
        <v>1299</v>
      </c>
      <c r="T43" s="19">
        <v>97.5</v>
      </c>
      <c r="U43" s="20">
        <v>0</v>
      </c>
      <c r="V43" s="15" t="s">
        <v>1300</v>
      </c>
      <c r="W43" s="20">
        <v>0</v>
      </c>
      <c r="X43" t="s">
        <v>1301</v>
      </c>
      <c r="Y43" s="20">
        <v>2797.93</v>
      </c>
      <c r="Z43" s="20">
        <v>624.98</v>
      </c>
      <c r="AA43" s="20">
        <v>1143.6400000000001</v>
      </c>
      <c r="AB43" s="20">
        <v>1029.31</v>
      </c>
      <c r="AC43" s="20">
        <v>0</v>
      </c>
      <c r="AD43" s="21">
        <v>141</v>
      </c>
      <c r="AG43">
        <v>0</v>
      </c>
      <c r="AH43">
        <v>0</v>
      </c>
      <c r="AI43" s="15"/>
      <c r="AL43" s="15">
        <v>46073.603368055556</v>
      </c>
      <c r="AM43" s="15" t="s">
        <v>92</v>
      </c>
      <c r="AN43" s="15" t="s">
        <v>1302</v>
      </c>
      <c r="AO43" s="15" t="s">
        <v>1303</v>
      </c>
      <c r="AP43" t="str">
        <f t="shared" si="0"/>
        <v>C</v>
      </c>
    </row>
    <row r="44" spans="1:42" x14ac:dyDescent="0.25">
      <c r="A44" t="s">
        <v>1365</v>
      </c>
      <c r="B44" s="14" t="s">
        <v>1080</v>
      </c>
      <c r="C44">
        <v>3</v>
      </c>
      <c r="D44" t="s">
        <v>451</v>
      </c>
      <c r="E44" s="15" t="s">
        <v>1081</v>
      </c>
      <c r="F44">
        <v>20037</v>
      </c>
      <c r="G44" s="16">
        <v>46073</v>
      </c>
      <c r="H44" s="16">
        <v>46073</v>
      </c>
      <c r="I44" s="16">
        <v>46073</v>
      </c>
      <c r="J44" s="16">
        <v>46073</v>
      </c>
      <c r="K44" s="31" t="s">
        <v>1128</v>
      </c>
      <c r="L44" s="15" t="s">
        <v>1129</v>
      </c>
      <c r="M44" t="s">
        <v>1130</v>
      </c>
      <c r="N44" t="s">
        <v>49</v>
      </c>
      <c r="O44" t="s">
        <v>1085</v>
      </c>
      <c r="P44" s="15" t="s">
        <v>51</v>
      </c>
      <c r="Q44" s="15" t="s">
        <v>1086</v>
      </c>
      <c r="R44" s="18" t="s">
        <v>1304</v>
      </c>
      <c r="S44" s="15" t="s">
        <v>1305</v>
      </c>
      <c r="T44" s="19">
        <v>96.4</v>
      </c>
      <c r="U44" s="20">
        <v>0</v>
      </c>
      <c r="V44" s="15" t="s">
        <v>58</v>
      </c>
      <c r="W44" s="20">
        <v>0</v>
      </c>
      <c r="X44" t="s">
        <v>1306</v>
      </c>
      <c r="Y44" s="20">
        <v>2769.18</v>
      </c>
      <c r="Z44" s="20">
        <v>617.91999999999996</v>
      </c>
      <c r="AA44" s="20">
        <v>1121.95</v>
      </c>
      <c r="AB44" s="20">
        <v>1029.31</v>
      </c>
      <c r="AC44" s="20">
        <v>0</v>
      </c>
      <c r="AD44" s="21">
        <v>76</v>
      </c>
      <c r="AG44">
        <v>0</v>
      </c>
      <c r="AH44">
        <v>0</v>
      </c>
      <c r="AI44" s="15">
        <v>46076.461111111108</v>
      </c>
      <c r="AJ44" t="s">
        <v>557</v>
      </c>
      <c r="AK44" t="s">
        <v>557</v>
      </c>
      <c r="AL44" s="15">
        <v>46076.64466435185</v>
      </c>
      <c r="AM44" s="15" t="s">
        <v>197</v>
      </c>
      <c r="AN44" s="15" t="s">
        <v>58</v>
      </c>
      <c r="AO44" s="15" t="s">
        <v>58</v>
      </c>
      <c r="AP44" t="str">
        <f t="shared" si="0"/>
        <v>V</v>
      </c>
    </row>
    <row r="45" spans="1:42" x14ac:dyDescent="0.25">
      <c r="A45" t="s">
        <v>1364</v>
      </c>
      <c r="B45" s="14" t="s">
        <v>1080</v>
      </c>
      <c r="C45">
        <v>2</v>
      </c>
      <c r="D45" t="s">
        <v>451</v>
      </c>
      <c r="E45" s="15" t="s">
        <v>1219</v>
      </c>
      <c r="F45">
        <v>20295</v>
      </c>
      <c r="G45" s="16">
        <v>46073</v>
      </c>
      <c r="H45" s="16"/>
      <c r="I45" s="16">
        <v>46073</v>
      </c>
      <c r="J45" s="16"/>
      <c r="K45" s="31" t="s">
        <v>1082</v>
      </c>
      <c r="L45" s="15" t="s">
        <v>1083</v>
      </c>
      <c r="M45" t="s">
        <v>1084</v>
      </c>
      <c r="N45" t="s">
        <v>49</v>
      </c>
      <c r="O45" t="s">
        <v>1095</v>
      </c>
      <c r="P45" s="15" t="s">
        <v>1086</v>
      </c>
      <c r="Q45" s="15" t="s">
        <v>648</v>
      </c>
      <c r="R45" s="18" t="s">
        <v>1307</v>
      </c>
      <c r="S45" s="15" t="s">
        <v>1308</v>
      </c>
      <c r="T45" s="19">
        <v>97.5</v>
      </c>
      <c r="U45" s="20">
        <v>0</v>
      </c>
      <c r="V45" s="15" t="s">
        <v>1309</v>
      </c>
      <c r="W45" s="20">
        <v>0</v>
      </c>
      <c r="X45" t="s">
        <v>1310</v>
      </c>
      <c r="Y45" s="20">
        <v>2797.93</v>
      </c>
      <c r="Z45" s="20">
        <v>624.98</v>
      </c>
      <c r="AA45" s="20">
        <v>1143.6400000000001</v>
      </c>
      <c r="AB45" s="20">
        <v>1029.31</v>
      </c>
      <c r="AC45" s="20">
        <v>0</v>
      </c>
      <c r="AD45" s="21">
        <v>216</v>
      </c>
      <c r="AG45">
        <v>0</v>
      </c>
      <c r="AH45">
        <v>0</v>
      </c>
      <c r="AI45" s="15"/>
      <c r="AL45" s="15">
        <v>46074.479050925926</v>
      </c>
      <c r="AM45" s="15" t="s">
        <v>197</v>
      </c>
      <c r="AN45" s="15" t="s">
        <v>153</v>
      </c>
      <c r="AO45" s="15" t="s">
        <v>816</v>
      </c>
      <c r="AP45" t="str">
        <f t="shared" si="0"/>
        <v>C</v>
      </c>
    </row>
    <row r="46" spans="1:42" x14ac:dyDescent="0.25">
      <c r="A46" t="s">
        <v>1364</v>
      </c>
      <c r="B46" s="14" t="s">
        <v>1080</v>
      </c>
      <c r="C46">
        <v>2</v>
      </c>
      <c r="D46" t="s">
        <v>451</v>
      </c>
      <c r="E46" s="15" t="s">
        <v>1219</v>
      </c>
      <c r="F46">
        <v>20296</v>
      </c>
      <c r="G46" s="16">
        <v>46073</v>
      </c>
      <c r="H46" s="16"/>
      <c r="I46" s="16">
        <v>46073</v>
      </c>
      <c r="J46" s="16"/>
      <c r="K46" s="31" t="s">
        <v>1082</v>
      </c>
      <c r="L46" s="15" t="s">
        <v>1083</v>
      </c>
      <c r="M46" t="s">
        <v>1084</v>
      </c>
      <c r="N46" t="s">
        <v>49</v>
      </c>
      <c r="O46" t="s">
        <v>1085</v>
      </c>
      <c r="P46" s="15" t="s">
        <v>51</v>
      </c>
      <c r="Q46" s="15" t="s">
        <v>1086</v>
      </c>
      <c r="R46" s="18" t="s">
        <v>1311</v>
      </c>
      <c r="S46" s="15" t="s">
        <v>1312</v>
      </c>
      <c r="T46" s="19">
        <v>96.4</v>
      </c>
      <c r="U46" s="20">
        <v>0</v>
      </c>
      <c r="V46" s="15" t="s">
        <v>58</v>
      </c>
      <c r="W46" s="20">
        <v>0</v>
      </c>
      <c r="X46" t="s">
        <v>1313</v>
      </c>
      <c r="Y46" s="20">
        <v>2769.18</v>
      </c>
      <c r="Z46" s="20">
        <v>617.91999999999996</v>
      </c>
      <c r="AA46" s="20">
        <v>1121.95</v>
      </c>
      <c r="AB46" s="20">
        <v>1029.31</v>
      </c>
      <c r="AC46" s="20">
        <v>0</v>
      </c>
      <c r="AD46" s="21">
        <v>68</v>
      </c>
      <c r="AG46">
        <v>0</v>
      </c>
      <c r="AH46">
        <v>0</v>
      </c>
      <c r="AI46" s="15">
        <v>46077.77847222222</v>
      </c>
      <c r="AJ46" t="s">
        <v>557</v>
      </c>
      <c r="AK46" t="s">
        <v>557</v>
      </c>
      <c r="AL46" s="15">
        <v>46078.74695601852</v>
      </c>
      <c r="AM46" s="15" t="s">
        <v>197</v>
      </c>
      <c r="AN46" s="15" t="s">
        <v>594</v>
      </c>
      <c r="AO46" s="15" t="s">
        <v>594</v>
      </c>
      <c r="AP46" t="str">
        <f t="shared" si="0"/>
        <v>V</v>
      </c>
    </row>
    <row r="47" spans="1:42" x14ac:dyDescent="0.25">
      <c r="A47" t="s">
        <v>1365</v>
      </c>
      <c r="B47" s="14" t="s">
        <v>1080</v>
      </c>
      <c r="C47">
        <v>2</v>
      </c>
      <c r="D47" t="s">
        <v>451</v>
      </c>
      <c r="E47" s="15" t="s">
        <v>1219</v>
      </c>
      <c r="F47">
        <v>20297</v>
      </c>
      <c r="G47" s="16">
        <v>46073</v>
      </c>
      <c r="H47" s="16"/>
      <c r="I47" s="16">
        <v>46073</v>
      </c>
      <c r="J47" s="16"/>
      <c r="K47" s="31" t="s">
        <v>1116</v>
      </c>
      <c r="L47" s="15" t="s">
        <v>1117</v>
      </c>
      <c r="M47" t="s">
        <v>1118</v>
      </c>
      <c r="N47" t="s">
        <v>49</v>
      </c>
      <c r="O47" t="s">
        <v>1095</v>
      </c>
      <c r="P47" s="15" t="s">
        <v>1086</v>
      </c>
      <c r="Q47" s="15" t="s">
        <v>648</v>
      </c>
      <c r="R47" s="18" t="s">
        <v>1314</v>
      </c>
      <c r="S47" s="15" t="s">
        <v>1315</v>
      </c>
      <c r="T47" s="19">
        <v>97.5</v>
      </c>
      <c r="U47" s="20">
        <v>0</v>
      </c>
      <c r="V47" s="15" t="s">
        <v>1316</v>
      </c>
      <c r="W47" s="20">
        <v>0</v>
      </c>
      <c r="X47" t="s">
        <v>1317</v>
      </c>
      <c r="Y47" s="20">
        <v>2797.93</v>
      </c>
      <c r="Z47" s="20">
        <v>624.98</v>
      </c>
      <c r="AA47" s="20">
        <v>1143.6400000000001</v>
      </c>
      <c r="AB47" s="20">
        <v>1029.31</v>
      </c>
      <c r="AC47" s="20">
        <v>0</v>
      </c>
      <c r="AD47" s="21">
        <v>191</v>
      </c>
      <c r="AG47">
        <v>0</v>
      </c>
      <c r="AH47">
        <v>0</v>
      </c>
      <c r="AI47" s="15"/>
      <c r="AL47" s="15">
        <v>46074.063634259262</v>
      </c>
      <c r="AM47" s="15" t="s">
        <v>56</v>
      </c>
      <c r="AN47" s="15" t="s">
        <v>1318</v>
      </c>
      <c r="AO47" s="15" t="s">
        <v>1319</v>
      </c>
      <c r="AP47" t="str">
        <f t="shared" si="0"/>
        <v>C</v>
      </c>
    </row>
    <row r="48" spans="1:42" x14ac:dyDescent="0.25">
      <c r="A48" t="s">
        <v>1365</v>
      </c>
      <c r="B48" s="14" t="s">
        <v>1080</v>
      </c>
      <c r="C48">
        <v>2</v>
      </c>
      <c r="D48" t="s">
        <v>451</v>
      </c>
      <c r="E48" s="15" t="s">
        <v>1219</v>
      </c>
      <c r="F48">
        <v>20298</v>
      </c>
      <c r="G48" s="16">
        <v>46073</v>
      </c>
      <c r="H48" s="16"/>
      <c r="I48" s="16">
        <v>46073</v>
      </c>
      <c r="J48" s="16"/>
      <c r="K48" s="31" t="s">
        <v>1116</v>
      </c>
      <c r="L48" s="15" t="s">
        <v>1117</v>
      </c>
      <c r="M48" t="s">
        <v>1118</v>
      </c>
      <c r="N48" t="s">
        <v>49</v>
      </c>
      <c r="O48" t="s">
        <v>1085</v>
      </c>
      <c r="P48" s="15" t="s">
        <v>51</v>
      </c>
      <c r="Q48" s="15" t="s">
        <v>1086</v>
      </c>
      <c r="R48" s="18" t="s">
        <v>1320</v>
      </c>
      <c r="S48" s="15" t="s">
        <v>1321</v>
      </c>
      <c r="T48" s="19">
        <v>96.4</v>
      </c>
      <c r="U48" s="20">
        <v>0</v>
      </c>
      <c r="V48" s="15" t="s">
        <v>58</v>
      </c>
      <c r="W48" s="20">
        <v>0</v>
      </c>
      <c r="X48" t="s">
        <v>1322</v>
      </c>
      <c r="Y48" s="20">
        <v>2769.18</v>
      </c>
      <c r="Z48" s="20">
        <v>617.91999999999996</v>
      </c>
      <c r="AA48" s="20">
        <v>1121.95</v>
      </c>
      <c r="AB48" s="20">
        <v>1029.31</v>
      </c>
      <c r="AC48" s="20">
        <v>0</v>
      </c>
      <c r="AD48" s="21">
        <v>106</v>
      </c>
      <c r="AG48">
        <v>0</v>
      </c>
      <c r="AH48">
        <v>0</v>
      </c>
      <c r="AI48" s="15">
        <v>46077.77847222222</v>
      </c>
      <c r="AJ48" t="s">
        <v>557</v>
      </c>
      <c r="AK48" t="s">
        <v>557</v>
      </c>
      <c r="AL48" s="15">
        <v>46078.746608796297</v>
      </c>
      <c r="AM48" s="15" t="s">
        <v>197</v>
      </c>
      <c r="AN48" s="15" t="s">
        <v>594</v>
      </c>
      <c r="AO48" s="15" t="s">
        <v>594</v>
      </c>
      <c r="AP48" t="str">
        <f t="shared" si="0"/>
        <v>V</v>
      </c>
    </row>
    <row r="49" spans="1:42" x14ac:dyDescent="0.25">
      <c r="A49" t="s">
        <v>1365</v>
      </c>
      <c r="B49" s="14" t="s">
        <v>1080</v>
      </c>
      <c r="C49">
        <v>2</v>
      </c>
      <c r="D49" t="s">
        <v>451</v>
      </c>
      <c r="E49" s="15" t="s">
        <v>1081</v>
      </c>
      <c r="F49">
        <v>20627</v>
      </c>
      <c r="G49" s="16">
        <v>46074</v>
      </c>
      <c r="H49" s="16"/>
      <c r="I49" s="16">
        <v>46074</v>
      </c>
      <c r="J49" s="16"/>
      <c r="K49" s="31" t="s">
        <v>1144</v>
      </c>
      <c r="L49" s="15" t="s">
        <v>1145</v>
      </c>
      <c r="M49" t="s">
        <v>1146</v>
      </c>
      <c r="N49" t="s">
        <v>49</v>
      </c>
      <c r="O49" t="s">
        <v>1095</v>
      </c>
      <c r="P49" s="15" t="s">
        <v>1086</v>
      </c>
      <c r="Q49" s="15" t="s">
        <v>648</v>
      </c>
      <c r="R49" s="18" t="s">
        <v>1323</v>
      </c>
      <c r="S49" s="15" t="s">
        <v>1324</v>
      </c>
      <c r="T49" s="19">
        <v>97.5</v>
      </c>
      <c r="U49" s="20">
        <v>0</v>
      </c>
      <c r="V49" s="15" t="s">
        <v>1325</v>
      </c>
      <c r="W49" s="20">
        <v>0</v>
      </c>
      <c r="X49" t="s">
        <v>1326</v>
      </c>
      <c r="Y49" s="20">
        <v>2796.62</v>
      </c>
      <c r="Z49" s="20">
        <v>624.98</v>
      </c>
      <c r="AA49" s="20">
        <v>1142.33</v>
      </c>
      <c r="AB49" s="20">
        <v>1029.31</v>
      </c>
      <c r="AC49" s="20">
        <v>0</v>
      </c>
      <c r="AD49" s="21">
        <v>290</v>
      </c>
      <c r="AG49">
        <v>0</v>
      </c>
      <c r="AH49">
        <v>0</v>
      </c>
      <c r="AI49" s="15"/>
      <c r="AL49" s="15">
        <v>46075.09033564815</v>
      </c>
      <c r="AM49" s="15" t="s">
        <v>56</v>
      </c>
      <c r="AN49" s="15" t="s">
        <v>1327</v>
      </c>
      <c r="AO49" s="15" t="s">
        <v>86</v>
      </c>
      <c r="AP49" t="str">
        <f t="shared" si="0"/>
        <v>C</v>
      </c>
    </row>
    <row r="50" spans="1:42" x14ac:dyDescent="0.25">
      <c r="A50" t="s">
        <v>1365</v>
      </c>
      <c r="B50" s="14" t="s">
        <v>1080</v>
      </c>
      <c r="C50">
        <v>2</v>
      </c>
      <c r="D50" t="s">
        <v>451</v>
      </c>
      <c r="E50" s="15" t="s">
        <v>1081</v>
      </c>
      <c r="F50">
        <v>20628</v>
      </c>
      <c r="G50" s="16">
        <v>46074</v>
      </c>
      <c r="H50" s="16"/>
      <c r="I50" s="16">
        <v>46074</v>
      </c>
      <c r="J50" s="16"/>
      <c r="K50" s="31" t="s">
        <v>1144</v>
      </c>
      <c r="L50" s="15" t="s">
        <v>1145</v>
      </c>
      <c r="M50" t="s">
        <v>1146</v>
      </c>
      <c r="N50" t="s">
        <v>49</v>
      </c>
      <c r="O50" t="s">
        <v>1085</v>
      </c>
      <c r="P50" s="15" t="s">
        <v>51</v>
      </c>
      <c r="Q50" s="15" t="s">
        <v>1086</v>
      </c>
      <c r="R50" s="18" t="s">
        <v>1328</v>
      </c>
      <c r="S50" s="15" t="s">
        <v>1329</v>
      </c>
      <c r="T50" s="19">
        <v>96.4</v>
      </c>
      <c r="U50" s="20">
        <v>0</v>
      </c>
      <c r="V50" s="15" t="s">
        <v>1328</v>
      </c>
      <c r="W50" s="20">
        <v>0</v>
      </c>
      <c r="Y50" s="20">
        <v>0</v>
      </c>
      <c r="Z50" s="20">
        <v>617.91999999999996</v>
      </c>
      <c r="AA50" s="20">
        <v>1121.95</v>
      </c>
      <c r="AB50" s="20">
        <v>1029.31</v>
      </c>
      <c r="AC50" s="20">
        <v>0</v>
      </c>
      <c r="AD50" s="21">
        <v>94</v>
      </c>
      <c r="AG50">
        <v>0</v>
      </c>
      <c r="AH50">
        <v>0</v>
      </c>
      <c r="AI50" s="15">
        <v>46079.451388888891</v>
      </c>
      <c r="AJ50" t="s">
        <v>557</v>
      </c>
      <c r="AK50" t="s">
        <v>557</v>
      </c>
      <c r="AL50" s="15"/>
      <c r="AM50" s="15"/>
      <c r="AN50" s="15" t="s">
        <v>1330</v>
      </c>
      <c r="AO50" s="15" t="s">
        <v>142</v>
      </c>
      <c r="AP50" t="str">
        <f t="shared" si="0"/>
        <v>V</v>
      </c>
    </row>
    <row r="51" spans="1:42" x14ac:dyDescent="0.25">
      <c r="A51" t="s">
        <v>1366</v>
      </c>
      <c r="B51" s="14" t="s">
        <v>1080</v>
      </c>
      <c r="C51">
        <v>2</v>
      </c>
      <c r="D51" t="s">
        <v>451</v>
      </c>
      <c r="E51" s="15" t="s">
        <v>1081</v>
      </c>
      <c r="F51">
        <v>20629</v>
      </c>
      <c r="G51" s="16">
        <v>46074</v>
      </c>
      <c r="H51" s="16"/>
      <c r="I51" s="16">
        <v>46074</v>
      </c>
      <c r="J51" s="16"/>
      <c r="K51" s="31" t="s">
        <v>1161</v>
      </c>
      <c r="L51" s="15" t="s">
        <v>1162</v>
      </c>
      <c r="M51" t="s">
        <v>1163</v>
      </c>
      <c r="N51" t="s">
        <v>49</v>
      </c>
      <c r="O51" t="s">
        <v>1095</v>
      </c>
      <c r="P51" s="15" t="s">
        <v>1086</v>
      </c>
      <c r="Q51" s="15" t="s">
        <v>648</v>
      </c>
      <c r="R51" s="18" t="s">
        <v>1331</v>
      </c>
      <c r="S51" s="15" t="s">
        <v>1332</v>
      </c>
      <c r="T51" s="19">
        <v>97.5</v>
      </c>
      <c r="U51" s="20">
        <v>0</v>
      </c>
      <c r="V51" s="15" t="s">
        <v>1333</v>
      </c>
      <c r="W51" s="20">
        <v>0</v>
      </c>
      <c r="X51" t="s">
        <v>1334</v>
      </c>
      <c r="Y51" s="20">
        <v>2797.16</v>
      </c>
      <c r="Z51" s="20">
        <v>624.98</v>
      </c>
      <c r="AA51" s="20">
        <v>1142.8699999999999</v>
      </c>
      <c r="AB51" s="20">
        <v>1029.31</v>
      </c>
      <c r="AC51" s="20">
        <v>0</v>
      </c>
      <c r="AD51" s="21">
        <v>150</v>
      </c>
      <c r="AG51">
        <v>0</v>
      </c>
      <c r="AH51">
        <v>0</v>
      </c>
      <c r="AI51" s="15"/>
      <c r="AL51" s="15">
        <v>46075.059502314813</v>
      </c>
      <c r="AM51" s="15" t="s">
        <v>56</v>
      </c>
      <c r="AN51" s="15" t="s">
        <v>284</v>
      </c>
      <c r="AO51" s="15" t="s">
        <v>1335</v>
      </c>
      <c r="AP51" t="str">
        <f t="shared" si="0"/>
        <v>C</v>
      </c>
    </row>
    <row r="52" spans="1:42" x14ac:dyDescent="0.25">
      <c r="A52" t="s">
        <v>1366</v>
      </c>
      <c r="B52" s="14" t="s">
        <v>1080</v>
      </c>
      <c r="C52">
        <v>2</v>
      </c>
      <c r="D52" t="s">
        <v>451</v>
      </c>
      <c r="E52" s="15" t="s">
        <v>1081</v>
      </c>
      <c r="F52">
        <v>20630</v>
      </c>
      <c r="G52" s="16">
        <v>46074</v>
      </c>
      <c r="H52" s="16"/>
      <c r="I52" s="16">
        <v>46074</v>
      </c>
      <c r="J52" s="16"/>
      <c r="K52" s="31" t="s">
        <v>1161</v>
      </c>
      <c r="L52" s="15" t="s">
        <v>1162</v>
      </c>
      <c r="M52" t="s">
        <v>1163</v>
      </c>
      <c r="N52" t="s">
        <v>49</v>
      </c>
      <c r="O52" t="s">
        <v>1085</v>
      </c>
      <c r="P52" s="15" t="s">
        <v>51</v>
      </c>
      <c r="Q52" s="15" t="s">
        <v>1086</v>
      </c>
      <c r="R52" s="18" t="s">
        <v>1336</v>
      </c>
      <c r="S52" s="15" t="s">
        <v>1337</v>
      </c>
      <c r="T52" s="19">
        <v>96.4</v>
      </c>
      <c r="U52" s="20">
        <v>0</v>
      </c>
      <c r="V52" s="15" t="s">
        <v>58</v>
      </c>
      <c r="W52" s="20">
        <v>0</v>
      </c>
      <c r="Y52" s="20">
        <v>0</v>
      </c>
      <c r="Z52" s="20">
        <v>617.91999999999996</v>
      </c>
      <c r="AA52" s="20">
        <v>1121.95</v>
      </c>
      <c r="AB52" s="20">
        <v>1029.31</v>
      </c>
      <c r="AC52" s="20">
        <v>0</v>
      </c>
      <c r="AD52" s="21">
        <v>77</v>
      </c>
      <c r="AG52">
        <v>0</v>
      </c>
      <c r="AH52">
        <v>0</v>
      </c>
      <c r="AI52" s="15">
        <v>46079.451388888891</v>
      </c>
      <c r="AJ52" t="s">
        <v>557</v>
      </c>
      <c r="AK52" t="s">
        <v>557</v>
      </c>
      <c r="AL52" s="15"/>
      <c r="AM52" s="15"/>
      <c r="AN52" s="15" t="s">
        <v>594</v>
      </c>
      <c r="AO52" s="15" t="s">
        <v>594</v>
      </c>
      <c r="AP52" t="str">
        <f t="shared" si="0"/>
        <v>V</v>
      </c>
    </row>
    <row r="53" spans="1:42" x14ac:dyDescent="0.25">
      <c r="A53" t="s">
        <v>1364</v>
      </c>
      <c r="B53" s="14" t="s">
        <v>1080</v>
      </c>
      <c r="C53">
        <v>2</v>
      </c>
      <c r="D53" t="s">
        <v>451</v>
      </c>
      <c r="E53" s="15" t="s">
        <v>1219</v>
      </c>
      <c r="F53">
        <v>20958</v>
      </c>
      <c r="G53" s="16">
        <v>46076</v>
      </c>
      <c r="H53" s="16"/>
      <c r="I53" s="16">
        <v>46076</v>
      </c>
      <c r="J53" s="16"/>
      <c r="K53" s="31" t="s">
        <v>1103</v>
      </c>
      <c r="L53" s="15" t="s">
        <v>1104</v>
      </c>
      <c r="M53" t="s">
        <v>1105</v>
      </c>
      <c r="N53" t="s">
        <v>49</v>
      </c>
      <c r="O53" t="s">
        <v>1095</v>
      </c>
      <c r="P53" s="15" t="s">
        <v>1086</v>
      </c>
      <c r="Q53" s="15" t="s">
        <v>648</v>
      </c>
      <c r="R53" s="18" t="s">
        <v>1338</v>
      </c>
      <c r="S53" s="15" t="s">
        <v>1339</v>
      </c>
      <c r="T53" s="19">
        <v>97.5</v>
      </c>
      <c r="U53" s="20">
        <v>0</v>
      </c>
      <c r="V53" s="15" t="s">
        <v>1340</v>
      </c>
      <c r="W53" s="20">
        <v>0</v>
      </c>
      <c r="X53" t="s">
        <v>1341</v>
      </c>
      <c r="Y53" s="20">
        <v>2796.56</v>
      </c>
      <c r="Z53" s="20">
        <v>624.98</v>
      </c>
      <c r="AA53" s="20">
        <v>1142.27</v>
      </c>
      <c r="AB53" s="20">
        <v>1029.31</v>
      </c>
      <c r="AC53" s="20">
        <v>0</v>
      </c>
      <c r="AD53" s="21">
        <v>83</v>
      </c>
      <c r="AG53">
        <v>0</v>
      </c>
      <c r="AH53">
        <v>0</v>
      </c>
      <c r="AI53" s="15"/>
      <c r="AL53" s="15">
        <v>46076.581319444442</v>
      </c>
      <c r="AM53" s="15" t="s">
        <v>85</v>
      </c>
      <c r="AN53" s="15" t="s">
        <v>214</v>
      </c>
      <c r="AO53" s="15" t="s">
        <v>1342</v>
      </c>
      <c r="AP53" t="str">
        <f t="shared" si="0"/>
        <v>C</v>
      </c>
    </row>
    <row r="54" spans="1:42" x14ac:dyDescent="0.25">
      <c r="A54" t="s">
        <v>1364</v>
      </c>
      <c r="B54" s="14" t="s">
        <v>1080</v>
      </c>
      <c r="C54">
        <v>2</v>
      </c>
      <c r="D54" t="s">
        <v>451</v>
      </c>
      <c r="E54" s="15" t="s">
        <v>1219</v>
      </c>
      <c r="F54">
        <v>20959</v>
      </c>
      <c r="G54" s="16">
        <v>46076</v>
      </c>
      <c r="H54" s="16"/>
      <c r="I54" s="16">
        <v>46076</v>
      </c>
      <c r="J54" s="16"/>
      <c r="K54" s="31" t="s">
        <v>1103</v>
      </c>
      <c r="L54" s="15" t="s">
        <v>1104</v>
      </c>
      <c r="M54" t="s">
        <v>1105</v>
      </c>
      <c r="N54" t="s">
        <v>49</v>
      </c>
      <c r="O54" t="s">
        <v>1085</v>
      </c>
      <c r="P54" s="15" t="s">
        <v>51</v>
      </c>
      <c r="Q54" s="15" t="s">
        <v>1086</v>
      </c>
      <c r="R54" s="18" t="s">
        <v>1343</v>
      </c>
      <c r="S54" s="15" t="s">
        <v>1344</v>
      </c>
      <c r="T54" s="19">
        <v>96.4</v>
      </c>
      <c r="U54" s="20">
        <v>0</v>
      </c>
      <c r="V54" s="15" t="s">
        <v>58</v>
      </c>
      <c r="W54" s="20">
        <v>0</v>
      </c>
      <c r="Y54" s="20">
        <v>0</v>
      </c>
      <c r="Z54" s="20">
        <v>0</v>
      </c>
      <c r="AA54" s="20">
        <v>0</v>
      </c>
      <c r="AB54" s="20">
        <v>0</v>
      </c>
      <c r="AC54" s="20">
        <v>0</v>
      </c>
      <c r="AD54" s="21">
        <v>333</v>
      </c>
      <c r="AG54">
        <v>0</v>
      </c>
      <c r="AH54">
        <v>0</v>
      </c>
      <c r="AI54" s="15">
        <v>46079.453472222223</v>
      </c>
      <c r="AJ54" t="s">
        <v>557</v>
      </c>
      <c r="AK54" t="s">
        <v>557</v>
      </c>
      <c r="AL54" s="15"/>
      <c r="AM54" s="15"/>
      <c r="AN54" s="15" t="s">
        <v>594</v>
      </c>
      <c r="AO54" s="15" t="s">
        <v>594</v>
      </c>
      <c r="AP54" t="str">
        <f t="shared" si="0"/>
        <v>V</v>
      </c>
    </row>
    <row r="55" spans="1:42" x14ac:dyDescent="0.25">
      <c r="A55" t="s">
        <v>1366</v>
      </c>
      <c r="B55" s="14" t="s">
        <v>1080</v>
      </c>
      <c r="C55">
        <v>2</v>
      </c>
      <c r="D55" t="s">
        <v>451</v>
      </c>
      <c r="E55" s="15" t="s">
        <v>1081</v>
      </c>
      <c r="F55">
        <v>22291</v>
      </c>
      <c r="G55" s="16">
        <v>46079</v>
      </c>
      <c r="H55" s="16"/>
      <c r="I55" s="16">
        <v>46079</v>
      </c>
      <c r="J55" s="16"/>
      <c r="K55" s="31" t="s">
        <v>1161</v>
      </c>
      <c r="L55" s="15" t="s">
        <v>1162</v>
      </c>
      <c r="M55" t="s">
        <v>1163</v>
      </c>
      <c r="N55" t="s">
        <v>49</v>
      </c>
      <c r="O55" t="s">
        <v>1095</v>
      </c>
      <c r="P55" s="15" t="s">
        <v>1086</v>
      </c>
      <c r="Q55" s="15" t="s">
        <v>648</v>
      </c>
      <c r="R55" s="18" t="s">
        <v>1345</v>
      </c>
      <c r="S55" s="15" t="s">
        <v>1346</v>
      </c>
      <c r="T55" s="19">
        <v>97.5</v>
      </c>
      <c r="U55" s="20">
        <v>0</v>
      </c>
      <c r="V55" s="15" t="s">
        <v>1347</v>
      </c>
      <c r="W55" s="20">
        <v>0</v>
      </c>
      <c r="Y55" s="20">
        <v>0</v>
      </c>
      <c r="Z55" s="20">
        <v>0</v>
      </c>
      <c r="AA55" s="20">
        <v>0</v>
      </c>
      <c r="AB55" s="20">
        <v>0</v>
      </c>
      <c r="AC55" s="20">
        <v>0</v>
      </c>
      <c r="AD55" s="21"/>
      <c r="AG55">
        <v>0</v>
      </c>
      <c r="AH55">
        <v>0</v>
      </c>
      <c r="AI55" s="15"/>
      <c r="AL55" s="15"/>
      <c r="AM55" s="15"/>
      <c r="AN55" s="15" t="s">
        <v>1111</v>
      </c>
      <c r="AO55" s="15" t="s">
        <v>1348</v>
      </c>
      <c r="AP55" t="str">
        <f t="shared" si="0"/>
        <v>C</v>
      </c>
    </row>
    <row r="56" spans="1:42" x14ac:dyDescent="0.25">
      <c r="A56" t="s">
        <v>1366</v>
      </c>
      <c r="B56" s="14" t="s">
        <v>1080</v>
      </c>
      <c r="C56">
        <v>2</v>
      </c>
      <c r="D56" t="s">
        <v>451</v>
      </c>
      <c r="E56" s="15" t="s">
        <v>1081</v>
      </c>
      <c r="F56">
        <v>22292</v>
      </c>
      <c r="G56" s="16">
        <v>46079</v>
      </c>
      <c r="H56" s="16"/>
      <c r="I56" s="16">
        <v>46079</v>
      </c>
      <c r="J56" s="16"/>
      <c r="K56" s="31" t="s">
        <v>1161</v>
      </c>
      <c r="L56" s="15" t="s">
        <v>1162</v>
      </c>
      <c r="M56" t="s">
        <v>1163</v>
      </c>
      <c r="N56" t="s">
        <v>49</v>
      </c>
      <c r="O56" t="s">
        <v>1085</v>
      </c>
      <c r="P56" s="15" t="s">
        <v>51</v>
      </c>
      <c r="Q56" s="15" t="s">
        <v>1086</v>
      </c>
      <c r="R56" s="18" t="s">
        <v>1349</v>
      </c>
      <c r="S56" s="15" t="s">
        <v>58</v>
      </c>
      <c r="T56" s="19">
        <v>96.4</v>
      </c>
      <c r="U56" s="20">
        <v>0</v>
      </c>
      <c r="V56" s="15" t="s">
        <v>58</v>
      </c>
      <c r="W56" s="20">
        <v>0</v>
      </c>
      <c r="Y56" s="20">
        <v>0</v>
      </c>
      <c r="Z56" s="20">
        <v>0</v>
      </c>
      <c r="AA56" s="20">
        <v>0</v>
      </c>
      <c r="AB56" s="20">
        <v>0</v>
      </c>
      <c r="AC56" s="20">
        <v>0</v>
      </c>
      <c r="AD56" s="21"/>
      <c r="AG56">
        <v>0</v>
      </c>
      <c r="AH56">
        <v>0</v>
      </c>
      <c r="AI56" s="15"/>
      <c r="AL56" s="15"/>
      <c r="AM56" s="15"/>
      <c r="AN56" s="15" t="s">
        <v>58</v>
      </c>
      <c r="AO56" s="15" t="s">
        <v>1350</v>
      </c>
      <c r="AP56" t="str">
        <f t="shared" si="0"/>
        <v>V</v>
      </c>
    </row>
    <row r="57" spans="1:42" x14ac:dyDescent="0.25">
      <c r="A57" t="s">
        <v>1365</v>
      </c>
      <c r="B57" s="14" t="s">
        <v>1080</v>
      </c>
      <c r="C57">
        <v>2</v>
      </c>
      <c r="D57" t="s">
        <v>451</v>
      </c>
      <c r="E57" s="15" t="s">
        <v>1081</v>
      </c>
      <c r="F57">
        <v>22297</v>
      </c>
      <c r="G57" s="16">
        <v>46079</v>
      </c>
      <c r="H57" s="16"/>
      <c r="I57" s="16">
        <v>46079</v>
      </c>
      <c r="J57" s="16"/>
      <c r="K57" s="31" t="s">
        <v>1351</v>
      </c>
      <c r="L57" s="15" t="s">
        <v>1117</v>
      </c>
      <c r="M57" t="s">
        <v>1118</v>
      </c>
      <c r="N57" t="s">
        <v>49</v>
      </c>
      <c r="O57" t="s">
        <v>1095</v>
      </c>
      <c r="P57" s="15" t="s">
        <v>1086</v>
      </c>
      <c r="Q57" s="15" t="s">
        <v>648</v>
      </c>
      <c r="R57" s="18" t="s">
        <v>1352</v>
      </c>
      <c r="S57" s="15" t="s">
        <v>1353</v>
      </c>
      <c r="T57" s="19">
        <v>97.5</v>
      </c>
      <c r="U57" s="20">
        <v>0</v>
      </c>
      <c r="V57" s="15" t="s">
        <v>1354</v>
      </c>
      <c r="W57" s="20">
        <v>0</v>
      </c>
      <c r="X57" t="s">
        <v>1355</v>
      </c>
      <c r="Y57" s="20">
        <v>2796.27</v>
      </c>
      <c r="Z57" s="20">
        <v>624.98</v>
      </c>
      <c r="AA57" s="20">
        <v>1141.98</v>
      </c>
      <c r="AB57" s="20">
        <v>1029.31</v>
      </c>
      <c r="AC57" s="20">
        <v>0</v>
      </c>
      <c r="AD57" s="21"/>
      <c r="AG57">
        <v>0</v>
      </c>
      <c r="AH57">
        <v>0</v>
      </c>
      <c r="AI57" s="15"/>
      <c r="AL57" s="15">
        <v>46079.443252314813</v>
      </c>
      <c r="AM57" s="15" t="s">
        <v>85</v>
      </c>
      <c r="AN57" s="15" t="s">
        <v>1356</v>
      </c>
      <c r="AO57" s="15" t="s">
        <v>1357</v>
      </c>
      <c r="AP57" t="str">
        <f t="shared" si="0"/>
        <v>C</v>
      </c>
    </row>
    <row r="58" spans="1:42" x14ac:dyDescent="0.25">
      <c r="A58" t="s">
        <v>1365</v>
      </c>
      <c r="B58" s="14" t="s">
        <v>1080</v>
      </c>
      <c r="C58">
        <v>2</v>
      </c>
      <c r="D58" t="s">
        <v>451</v>
      </c>
      <c r="E58" s="15" t="s">
        <v>1081</v>
      </c>
      <c r="F58">
        <v>22298</v>
      </c>
      <c r="G58" s="16">
        <v>46079</v>
      </c>
      <c r="H58" s="16"/>
      <c r="I58" s="16">
        <v>46079</v>
      </c>
      <c r="J58" s="16"/>
      <c r="K58" s="31" t="s">
        <v>1351</v>
      </c>
      <c r="L58" s="15" t="s">
        <v>1117</v>
      </c>
      <c r="M58" t="s">
        <v>1118</v>
      </c>
      <c r="N58" t="s">
        <v>49</v>
      </c>
      <c r="O58" t="s">
        <v>1085</v>
      </c>
      <c r="P58" s="15" t="s">
        <v>51</v>
      </c>
      <c r="Q58" s="15" t="s">
        <v>1086</v>
      </c>
      <c r="R58" s="18" t="s">
        <v>1358</v>
      </c>
      <c r="S58" s="15" t="s">
        <v>58</v>
      </c>
      <c r="T58" s="19">
        <v>96.4</v>
      </c>
      <c r="U58" s="20">
        <v>0</v>
      </c>
      <c r="V58" s="15" t="s">
        <v>58</v>
      </c>
      <c r="W58" s="20">
        <v>0</v>
      </c>
      <c r="Y58" s="20">
        <v>0</v>
      </c>
      <c r="Z58" s="20">
        <v>0</v>
      </c>
      <c r="AA58" s="20">
        <v>0</v>
      </c>
      <c r="AB58" s="20">
        <v>0</v>
      </c>
      <c r="AC58" s="20">
        <v>0</v>
      </c>
      <c r="AD58" s="21"/>
      <c r="AG58">
        <v>0</v>
      </c>
      <c r="AH58">
        <v>0</v>
      </c>
      <c r="AI58" s="15"/>
      <c r="AL58" s="15"/>
      <c r="AM58" s="15"/>
      <c r="AN58" s="15" t="s">
        <v>58</v>
      </c>
      <c r="AO58" s="15" t="s">
        <v>58</v>
      </c>
      <c r="AP58" t="str">
        <f t="shared" si="0"/>
        <v>V</v>
      </c>
    </row>
    <row r="59" spans="1:42" x14ac:dyDescent="0.25">
      <c r="B59" s="14" t="s">
        <v>1080</v>
      </c>
      <c r="C59">
        <v>2</v>
      </c>
      <c r="D59" t="s">
        <v>451</v>
      </c>
      <c r="E59" s="15" t="s">
        <v>1081</v>
      </c>
      <c r="F59">
        <v>22324</v>
      </c>
      <c r="G59" s="16">
        <v>46079</v>
      </c>
      <c r="H59" s="16"/>
      <c r="I59" s="16">
        <v>46079</v>
      </c>
      <c r="J59" s="16"/>
      <c r="K59" s="31" t="s">
        <v>1103</v>
      </c>
      <c r="L59" s="15" t="s">
        <v>1104</v>
      </c>
      <c r="M59" t="s">
        <v>1105</v>
      </c>
      <c r="N59" t="s">
        <v>49</v>
      </c>
      <c r="O59" t="s">
        <v>1095</v>
      </c>
      <c r="P59" s="15" t="s">
        <v>1086</v>
      </c>
      <c r="Q59" s="15" t="s">
        <v>648</v>
      </c>
      <c r="R59" s="18" t="s">
        <v>1359</v>
      </c>
      <c r="S59" s="15" t="s">
        <v>58</v>
      </c>
      <c r="T59" s="19">
        <v>97.5</v>
      </c>
      <c r="U59" s="20">
        <v>0</v>
      </c>
      <c r="V59" s="15" t="s">
        <v>1360</v>
      </c>
      <c r="W59" s="20">
        <v>0</v>
      </c>
      <c r="Y59" s="20">
        <v>0</v>
      </c>
      <c r="Z59" s="20">
        <v>0</v>
      </c>
      <c r="AA59" s="20">
        <v>0</v>
      </c>
      <c r="AB59" s="20">
        <v>0</v>
      </c>
      <c r="AC59" s="20">
        <v>0</v>
      </c>
      <c r="AD59" s="21"/>
      <c r="AG59">
        <v>0</v>
      </c>
      <c r="AH59">
        <v>0</v>
      </c>
      <c r="AI59" s="15"/>
      <c r="AL59" s="15"/>
      <c r="AM59" s="15"/>
      <c r="AN59" s="15" t="s">
        <v>1361</v>
      </c>
      <c r="AO59" s="15" t="s">
        <v>1362</v>
      </c>
      <c r="AP59" t="str">
        <f t="shared" si="0"/>
        <v>C</v>
      </c>
    </row>
    <row r="60" spans="1:42" x14ac:dyDescent="0.25">
      <c r="B60" s="14" t="s">
        <v>1080</v>
      </c>
      <c r="C60">
        <v>2</v>
      </c>
      <c r="D60" t="s">
        <v>451</v>
      </c>
      <c r="E60" s="15" t="s">
        <v>1081</v>
      </c>
      <c r="F60">
        <v>22325</v>
      </c>
      <c r="G60" s="16">
        <v>46079</v>
      </c>
      <c r="H60" s="16"/>
      <c r="I60" s="16">
        <v>46079</v>
      </c>
      <c r="J60" s="16"/>
      <c r="K60" s="31" t="s">
        <v>1103</v>
      </c>
      <c r="L60" s="15" t="s">
        <v>1104</v>
      </c>
      <c r="M60" t="s">
        <v>1105</v>
      </c>
      <c r="N60" t="s">
        <v>49</v>
      </c>
      <c r="O60" t="s">
        <v>1085</v>
      </c>
      <c r="P60" s="15" t="s">
        <v>51</v>
      </c>
      <c r="Q60" s="15" t="s">
        <v>1086</v>
      </c>
      <c r="R60" s="18" t="s">
        <v>1363</v>
      </c>
      <c r="S60" s="15" t="s">
        <v>58</v>
      </c>
      <c r="T60" s="19">
        <v>96.4</v>
      </c>
      <c r="U60" s="20">
        <v>0</v>
      </c>
      <c r="V60" s="15" t="s">
        <v>58</v>
      </c>
      <c r="W60" s="20">
        <v>0</v>
      </c>
      <c r="Y60" s="20">
        <v>0</v>
      </c>
      <c r="Z60" s="20">
        <v>0</v>
      </c>
      <c r="AA60" s="20">
        <v>0</v>
      </c>
      <c r="AB60" s="20">
        <v>0</v>
      </c>
      <c r="AC60" s="20">
        <v>0</v>
      </c>
      <c r="AD60" s="21"/>
      <c r="AG60">
        <v>0</v>
      </c>
      <c r="AH60">
        <v>0</v>
      </c>
      <c r="AI60" s="15"/>
      <c r="AL60" s="15"/>
      <c r="AM60" s="15"/>
      <c r="AN60" s="15" t="s">
        <v>58</v>
      </c>
      <c r="AO60" s="15" t="s">
        <v>58</v>
      </c>
      <c r="AP60" t="str">
        <f t="shared" si="0"/>
        <v>V</v>
      </c>
    </row>
  </sheetData>
  <autoFilter ref="A2:AO60" xr:uid="{95FE1108-BF07-442C-AFCC-42CB67F6C4D4}"/>
  <mergeCells count="1">
    <mergeCell ref="A1:A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93B0-2D21-4D09-93A2-0E5D4B64CD1C}">
  <dimension ref="A2:P21"/>
  <sheetViews>
    <sheetView workbookViewId="0">
      <selection activeCell="F21" sqref="F21"/>
    </sheetView>
  </sheetViews>
  <sheetFormatPr baseColWidth="10" defaultRowHeight="15" x14ac:dyDescent="0.25"/>
  <cols>
    <col min="2" max="2" width="18.140625" customWidth="1"/>
    <col min="3" max="3" width="38.28515625" customWidth="1"/>
    <col min="4" max="4" width="52.28515625" customWidth="1"/>
  </cols>
  <sheetData>
    <row r="2" spans="1:16" x14ac:dyDescent="0.25">
      <c r="B2" s="33" t="s">
        <v>1367</v>
      </c>
      <c r="C2" s="34"/>
      <c r="D2" s="34"/>
      <c r="L2" s="37" t="s">
        <v>1377</v>
      </c>
      <c r="M2" s="36" t="s">
        <v>1378</v>
      </c>
      <c r="N2" s="36"/>
      <c r="O2" s="36"/>
      <c r="P2" s="36"/>
    </row>
    <row r="3" spans="1:16" x14ac:dyDescent="0.25">
      <c r="B3" s="26" t="s">
        <v>1077</v>
      </c>
      <c r="C3" s="26" t="s">
        <v>1368</v>
      </c>
      <c r="D3" s="35" t="s">
        <v>1371</v>
      </c>
      <c r="M3" s="36"/>
      <c r="N3" s="36"/>
      <c r="O3" s="36"/>
      <c r="P3" s="36"/>
    </row>
    <row r="4" spans="1:16" x14ac:dyDescent="0.25">
      <c r="B4" s="24" t="s">
        <v>1082</v>
      </c>
      <c r="C4" s="24">
        <f>+COUNTIFS('S-FULL'!$K$3:$K$60,'RESUMEN 2'!B4,'S-FULL'!$AP$3:$AP$60,"C")</f>
        <v>4</v>
      </c>
      <c r="D4" s="24" t="s">
        <v>1372</v>
      </c>
      <c r="M4" s="36"/>
      <c r="N4" s="36"/>
      <c r="O4" s="36"/>
      <c r="P4" s="36"/>
    </row>
    <row r="5" spans="1:16" ht="30" x14ac:dyDescent="0.25">
      <c r="B5" s="24" t="s">
        <v>1103</v>
      </c>
      <c r="C5" s="24">
        <f>+COUNTIFS('S-FULL'!$K$3:$K$60,'RESUMEN 2'!B5,'S-FULL'!$AP$3:$AP$60,"C")</f>
        <v>3</v>
      </c>
      <c r="D5" s="1" t="s">
        <v>1373</v>
      </c>
    </row>
    <row r="6" spans="1:16" x14ac:dyDescent="0.25">
      <c r="B6" s="24" t="s">
        <v>1116</v>
      </c>
      <c r="C6" s="24">
        <f>+COUNTIFS('S-FULL'!$K$3:$K$60,'RESUMEN 2'!B6,'S-FULL'!$AP$3:$AP$60,"C")</f>
        <v>4</v>
      </c>
      <c r="D6" s="24" t="s">
        <v>1374</v>
      </c>
    </row>
    <row r="7" spans="1:16" x14ac:dyDescent="0.25">
      <c r="B7" s="24" t="s">
        <v>1128</v>
      </c>
      <c r="C7" s="24">
        <f>+COUNTIFS('S-FULL'!$K$3:$K$60,'RESUMEN 2'!B7,'S-FULL'!$AP$3:$AP$60,"C")</f>
        <v>3</v>
      </c>
      <c r="D7" s="24" t="s">
        <v>1374</v>
      </c>
    </row>
    <row r="8" spans="1:16" x14ac:dyDescent="0.25">
      <c r="B8" s="24" t="s">
        <v>1134</v>
      </c>
      <c r="C8" s="24">
        <f>+COUNTIFS('S-FULL'!$K$3:$K$60,'RESUMEN 2'!B8,'S-FULL'!$AP$3:$AP$60,"C")</f>
        <v>2</v>
      </c>
      <c r="D8" s="24" t="s">
        <v>1372</v>
      </c>
    </row>
    <row r="9" spans="1:16" x14ac:dyDescent="0.25">
      <c r="B9" s="24" t="s">
        <v>1144</v>
      </c>
      <c r="C9" s="24">
        <f>+COUNTIFS('S-FULL'!$K$3:$K$60,'RESUMEN 2'!B9,'S-FULL'!$AP$3:$AP$60,"C")</f>
        <v>4</v>
      </c>
      <c r="D9" s="24" t="s">
        <v>1374</v>
      </c>
    </row>
    <row r="10" spans="1:16" x14ac:dyDescent="0.25">
      <c r="B10" s="24" t="s">
        <v>1154</v>
      </c>
      <c r="C10" s="24">
        <f>+COUNTIFS('S-FULL'!$K$3:$K$60,'RESUMEN 2'!B10,'S-FULL'!$AP$3:$AP$60,"C")</f>
        <v>2</v>
      </c>
      <c r="D10" s="24" t="s">
        <v>1372</v>
      </c>
    </row>
    <row r="11" spans="1:16" ht="60" x14ac:dyDescent="0.25">
      <c r="B11" s="24" t="s">
        <v>1161</v>
      </c>
      <c r="C11" s="24">
        <f>+COUNTIFS('S-FULL'!$K$3:$K$60,'RESUMEN 2'!B11,'S-FULL'!$AP$3:$AP$60,"C")</f>
        <v>5</v>
      </c>
      <c r="D11" s="1" t="s">
        <v>1375</v>
      </c>
    </row>
    <row r="12" spans="1:16" x14ac:dyDescent="0.25">
      <c r="B12" s="24" t="s">
        <v>1223</v>
      </c>
      <c r="C12" s="24">
        <f>+COUNTIFS('S-FULL'!$K$3:$K$60,'RESUMEN 2'!B12,'S-FULL'!$AP$3:$AP$60,"C")</f>
        <v>1</v>
      </c>
      <c r="D12" s="24" t="s">
        <v>1374</v>
      </c>
    </row>
    <row r="13" spans="1:16" x14ac:dyDescent="0.25">
      <c r="B13" s="24" t="s">
        <v>1351</v>
      </c>
      <c r="C13" s="24">
        <f>+COUNTIFS('S-FULL'!$K$3:$K$60,'RESUMEN 2'!B13,'S-FULL'!$AP$3:$AP$60,"C")</f>
        <v>1</v>
      </c>
      <c r="D13" s="24" t="s">
        <v>1374</v>
      </c>
    </row>
    <row r="14" spans="1:16" x14ac:dyDescent="0.25">
      <c r="A14" s="24" t="s">
        <v>1075</v>
      </c>
      <c r="B14" s="23">
        <f>+COUNTA(B4:B13)</f>
        <v>10</v>
      </c>
      <c r="C14" s="23">
        <f>+SUM(C4:C13)</f>
        <v>29</v>
      </c>
    </row>
    <row r="21" spans="6:6" x14ac:dyDescent="0.25">
      <c r="F21" s="38" t="s">
        <v>1376</v>
      </c>
    </row>
  </sheetData>
  <mergeCells count="2">
    <mergeCell ref="B2:D2"/>
    <mergeCell ref="M2:P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F-SENCILLOS</vt:lpstr>
      <vt:lpstr>RESUMEN 1</vt:lpstr>
      <vt:lpstr>S-FULL</vt:lpstr>
      <vt:lpstr>RESUMEN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Josimar Reyes Heredia</dc:creator>
  <cp:lastModifiedBy>Josimar Reyes Heredia</cp:lastModifiedBy>
  <dcterms:created xsi:type="dcterms:W3CDTF">2026-02-27T16:06:28Z</dcterms:created>
  <dcterms:modified xsi:type="dcterms:W3CDTF">2026-02-27T18:19:19Z</dcterms:modified>
</cp:coreProperties>
</file>